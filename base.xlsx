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2531222E-7F2D-40AE-B75F-0B8D677EA68C}" xr6:coauthVersionLast="47" xr6:coauthVersionMax="47" xr10:uidLastSave="{00000000-0000-0000-0000-000000000000}"/>
  <bookViews>
    <workbookView xWindow="-120" yWindow="-120" windowWidth="2064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4" i="2" l="1"/>
  <c r="K291" i="2"/>
  <c r="K288" i="2"/>
  <c r="K285" i="2"/>
  <c r="K282" i="2"/>
  <c r="K279" i="2"/>
  <c r="K276" i="2"/>
  <c r="K273" i="2"/>
  <c r="K270" i="2"/>
  <c r="K267" i="2"/>
  <c r="K264" i="2"/>
  <c r="K261" i="2"/>
  <c r="K258" i="2"/>
  <c r="K256" i="2"/>
  <c r="K253" i="2"/>
  <c r="K250" i="2"/>
  <c r="K247" i="2"/>
  <c r="K244" i="2"/>
  <c r="K241" i="2"/>
  <c r="K238" i="2"/>
  <c r="K235" i="2"/>
  <c r="K232" i="2"/>
  <c r="K229" i="2"/>
  <c r="K226" i="2"/>
  <c r="K223" i="2"/>
  <c r="K220" i="2"/>
  <c r="K217" i="2"/>
  <c r="K214" i="2"/>
  <c r="K211" i="2"/>
  <c r="K208" i="2"/>
  <c r="K205" i="2"/>
  <c r="K202" i="2"/>
  <c r="K199" i="2"/>
  <c r="K196" i="2"/>
  <c r="K193" i="2"/>
  <c r="K190" i="2"/>
  <c r="K187" i="2"/>
  <c r="K184" i="2"/>
  <c r="K181" i="2"/>
  <c r="K178" i="2"/>
  <c r="K174" i="2"/>
  <c r="K171" i="2"/>
  <c r="K168" i="2"/>
  <c r="K165" i="2"/>
  <c r="K162" i="2"/>
  <c r="K159" i="2"/>
  <c r="K156" i="2"/>
  <c r="K153" i="2"/>
  <c r="K150" i="2"/>
  <c r="K147" i="2"/>
  <c r="K144" i="2"/>
  <c r="K141" i="2"/>
  <c r="K138" i="2"/>
  <c r="K135" i="2"/>
  <c r="K132" i="2"/>
  <c r="K129" i="2"/>
  <c r="K126" i="2"/>
  <c r="K123" i="2"/>
  <c r="K120" i="2"/>
  <c r="K117" i="2"/>
  <c r="K114" i="2"/>
  <c r="K111" i="2"/>
  <c r="K108" i="2"/>
  <c r="K104" i="2"/>
  <c r="K101" i="2"/>
  <c r="K98" i="2"/>
  <c r="K95" i="2"/>
  <c r="K92" i="2"/>
  <c r="K89" i="2"/>
  <c r="K86" i="2"/>
  <c r="K83" i="2"/>
  <c r="K80" i="2"/>
  <c r="K77" i="2"/>
  <c r="K74" i="2"/>
  <c r="K71" i="2"/>
  <c r="K68" i="2"/>
  <c r="K65" i="2"/>
  <c r="K62" i="2"/>
  <c r="K59" i="2"/>
  <c r="K56" i="2"/>
  <c r="K53" i="2"/>
  <c r="K50" i="2"/>
  <c r="K47" i="2"/>
  <c r="K44" i="2"/>
  <c r="K41" i="2"/>
  <c r="K38" i="2"/>
  <c r="K34" i="2"/>
  <c r="K31" i="2"/>
  <c r="K28" i="2"/>
  <c r="K25" i="2"/>
  <c r="K22" i="2"/>
  <c r="K19" i="2"/>
  <c r="K16" i="2"/>
  <c r="K13" i="2"/>
  <c r="K10" i="2"/>
  <c r="K8" i="2"/>
  <c r="K5" i="2"/>
  <c r="K2" i="2"/>
  <c r="I294" i="2"/>
  <c r="I291" i="2"/>
  <c r="I288" i="2"/>
  <c r="I285" i="2"/>
  <c r="I282" i="2"/>
  <c r="I279" i="2"/>
  <c r="I276" i="2"/>
  <c r="I273" i="2"/>
  <c r="I270" i="2"/>
  <c r="I267" i="2"/>
  <c r="I264" i="2"/>
  <c r="I261" i="2"/>
  <c r="I258" i="2"/>
  <c r="I256" i="2"/>
  <c r="I253" i="2"/>
  <c r="I250" i="2"/>
  <c r="I247" i="2"/>
  <c r="I244" i="2"/>
  <c r="I241" i="2"/>
  <c r="I238" i="2"/>
  <c r="I235" i="2"/>
  <c r="I232" i="2"/>
  <c r="I229" i="2"/>
  <c r="I226" i="2"/>
  <c r="I223" i="2"/>
  <c r="I220" i="2"/>
  <c r="I217" i="2"/>
  <c r="I214" i="2"/>
  <c r="I211" i="2"/>
  <c r="I208" i="2"/>
  <c r="I205" i="2"/>
  <c r="I202" i="2"/>
  <c r="I199" i="2"/>
  <c r="I196" i="2"/>
  <c r="I193" i="2"/>
  <c r="I190" i="2"/>
  <c r="I187" i="2"/>
  <c r="I184" i="2"/>
  <c r="I181" i="2"/>
  <c r="I178" i="2"/>
  <c r="I174" i="2"/>
  <c r="I171" i="2"/>
  <c r="I168" i="2"/>
  <c r="I165" i="2"/>
  <c r="I162" i="2"/>
  <c r="I159" i="2"/>
  <c r="I156" i="2"/>
  <c r="I153" i="2"/>
  <c r="I150" i="2"/>
  <c r="I147" i="2"/>
  <c r="I144" i="2"/>
  <c r="I141" i="2"/>
  <c r="I138" i="2"/>
  <c r="I135" i="2"/>
  <c r="I132" i="2"/>
  <c r="I129" i="2"/>
  <c r="I126" i="2"/>
  <c r="I123" i="2"/>
  <c r="I120" i="2"/>
  <c r="I117" i="2"/>
  <c r="I114" i="2"/>
  <c r="I111" i="2"/>
  <c r="I108" i="2"/>
  <c r="I104" i="2"/>
  <c r="I101" i="2"/>
  <c r="I98" i="2"/>
  <c r="I95" i="2"/>
  <c r="I92" i="2"/>
  <c r="I89" i="2"/>
  <c r="I86" i="2"/>
  <c r="I83" i="2"/>
  <c r="I80" i="2"/>
  <c r="I77" i="2"/>
  <c r="I74" i="2"/>
  <c r="I71" i="2"/>
  <c r="I68" i="2"/>
  <c r="I65" i="2"/>
  <c r="I62" i="2"/>
  <c r="I59" i="2"/>
  <c r="I56" i="2"/>
  <c r="I53" i="2"/>
  <c r="I50" i="2"/>
  <c r="I47" i="2"/>
  <c r="I44" i="2"/>
  <c r="I41" i="2"/>
  <c r="I38" i="2"/>
  <c r="I34" i="2"/>
  <c r="I31" i="2"/>
  <c r="I28" i="2"/>
  <c r="I25" i="2"/>
  <c r="I22" i="2"/>
  <c r="I19" i="2"/>
  <c r="I16" i="2"/>
  <c r="I13" i="2"/>
  <c r="I10" i="2"/>
  <c r="I8" i="2"/>
  <c r="I2" i="2"/>
  <c r="I5" i="2"/>
  <c r="F294" i="2"/>
  <c r="F291" i="2"/>
  <c r="F288" i="2"/>
  <c r="F285" i="2"/>
  <c r="F282" i="2"/>
  <c r="F279" i="2"/>
  <c r="F276" i="2"/>
  <c r="F273" i="2"/>
  <c r="F270" i="2"/>
  <c r="F267" i="2"/>
  <c r="F264" i="2"/>
  <c r="F261" i="2"/>
  <c r="F258" i="2"/>
  <c r="F256" i="2"/>
  <c r="F253" i="2"/>
  <c r="F250" i="2"/>
  <c r="F247" i="2"/>
  <c r="F244" i="2"/>
  <c r="F241" i="2"/>
  <c r="F238" i="2"/>
  <c r="F235" i="2"/>
  <c r="M235" i="2" s="1"/>
  <c r="F232" i="2"/>
  <c r="F229" i="2"/>
  <c r="F226" i="2"/>
  <c r="F223" i="2"/>
  <c r="M223" i="2" s="1"/>
  <c r="F220" i="2"/>
  <c r="F217" i="2"/>
  <c r="F214" i="2"/>
  <c r="F211" i="2"/>
  <c r="M211" i="2" s="1"/>
  <c r="F208" i="2"/>
  <c r="F205" i="2"/>
  <c r="F202" i="2"/>
  <c r="F199" i="2"/>
  <c r="F196" i="2"/>
  <c r="F193" i="2"/>
  <c r="F190" i="2"/>
  <c r="F187" i="2"/>
  <c r="F184" i="2"/>
  <c r="F181" i="2"/>
  <c r="F178" i="2"/>
  <c r="F174" i="2"/>
  <c r="F171" i="2"/>
  <c r="F168" i="2"/>
  <c r="F165" i="2"/>
  <c r="F162" i="2"/>
  <c r="F159" i="2"/>
  <c r="F156" i="2"/>
  <c r="F153" i="2"/>
  <c r="F150" i="2"/>
  <c r="M150" i="2" s="1"/>
  <c r="F147" i="2"/>
  <c r="F144" i="2"/>
  <c r="F141" i="2"/>
  <c r="F138" i="2"/>
  <c r="M138" i="2" s="1"/>
  <c r="F135" i="2"/>
  <c r="F132" i="2"/>
  <c r="F129" i="2"/>
  <c r="F126" i="2"/>
  <c r="F123" i="2"/>
  <c r="F120" i="2"/>
  <c r="F117" i="2"/>
  <c r="F114" i="2"/>
  <c r="F111" i="2"/>
  <c r="F108" i="2"/>
  <c r="F104" i="2"/>
  <c r="F101" i="2"/>
  <c r="F98" i="2"/>
  <c r="F95" i="2"/>
  <c r="F92" i="2"/>
  <c r="F89" i="2"/>
  <c r="F86" i="2"/>
  <c r="F83" i="2"/>
  <c r="F80" i="2"/>
  <c r="F77" i="2"/>
  <c r="F74" i="2"/>
  <c r="F71" i="2"/>
  <c r="F68" i="2"/>
  <c r="F65" i="2"/>
  <c r="F62" i="2"/>
  <c r="F59" i="2"/>
  <c r="F56" i="2"/>
  <c r="F53" i="2"/>
  <c r="F50" i="2"/>
  <c r="F47" i="2"/>
  <c r="F44" i="2"/>
  <c r="F41" i="2"/>
  <c r="F38" i="2"/>
  <c r="F34" i="2"/>
  <c r="F31" i="2"/>
  <c r="F28" i="2"/>
  <c r="F25" i="2"/>
  <c r="F22" i="2"/>
  <c r="F19" i="2"/>
  <c r="F16" i="2"/>
  <c r="M16" i="2" s="1"/>
  <c r="F13" i="2"/>
  <c r="F10" i="2"/>
  <c r="F8" i="2"/>
  <c r="F5" i="2"/>
  <c r="F2" i="2"/>
  <c r="M74" i="2" l="1"/>
  <c r="M120" i="2"/>
  <c r="M132" i="2"/>
  <c r="M144" i="2"/>
  <c r="M156" i="2"/>
  <c r="M168" i="2"/>
  <c r="M205" i="2"/>
  <c r="M217" i="2"/>
  <c r="M253" i="2"/>
  <c r="M264" i="2"/>
  <c r="M276" i="2"/>
  <c r="M250" i="2"/>
  <c r="M273" i="2"/>
  <c r="M187" i="2"/>
  <c r="M258" i="2"/>
  <c r="M117" i="2"/>
  <c r="M165" i="2"/>
  <c r="M129" i="2"/>
  <c r="M178" i="2"/>
  <c r="M19" i="2"/>
  <c r="M141" i="2"/>
  <c r="M190" i="2"/>
  <c r="M214" i="2"/>
  <c r="M261" i="2"/>
  <c r="M50" i="2"/>
  <c r="M62" i="2"/>
  <c r="M86" i="2"/>
  <c r="M98" i="2"/>
  <c r="M111" i="2"/>
  <c r="M123" i="2"/>
  <c r="M135" i="2"/>
  <c r="M159" i="2"/>
  <c r="M171" i="2"/>
  <c r="M220" i="2"/>
  <c r="M232" i="2"/>
  <c r="M244" i="2"/>
  <c r="M279" i="2"/>
  <c r="M8" i="2"/>
  <c r="M202" i="2"/>
  <c r="M31" i="2"/>
  <c r="M104" i="2"/>
  <c r="M153" i="2"/>
  <c r="M101" i="2"/>
  <c r="M114" i="2"/>
  <c r="M126" i="2"/>
  <c r="M162" i="2"/>
  <c r="M174" i="2"/>
  <c r="M199" i="2"/>
  <c r="M247" i="2"/>
  <c r="M53" i="2"/>
  <c r="M65" i="2"/>
  <c r="M77" i="2"/>
  <c r="M238" i="2"/>
  <c r="M181" i="2"/>
  <c r="M193" i="2"/>
  <c r="M226" i="2"/>
  <c r="M28" i="2"/>
  <c r="M270" i="2"/>
  <c r="M10" i="2"/>
  <c r="M22" i="2"/>
  <c r="M34" i="2"/>
  <c r="M47" i="2"/>
  <c r="M59" i="2"/>
  <c r="M71" i="2"/>
  <c r="M83" i="2"/>
  <c r="M95" i="2"/>
  <c r="M108" i="2"/>
  <c r="M229" i="2"/>
  <c r="M241" i="2"/>
  <c r="M288" i="2"/>
  <c r="M291" i="2"/>
  <c r="M89" i="2"/>
  <c r="M208" i="2"/>
  <c r="M196" i="2"/>
  <c r="M184" i="2"/>
  <c r="M147" i="2"/>
  <c r="M267" i="2"/>
  <c r="M256" i="2"/>
  <c r="M38" i="2"/>
  <c r="M25" i="2"/>
  <c r="M13" i="2"/>
  <c r="M92" i="2"/>
  <c r="M80" i="2"/>
  <c r="M68" i="2"/>
  <c r="M56" i="2"/>
  <c r="M44" i="2"/>
  <c r="M41" i="2"/>
  <c r="M285" i="2"/>
  <c r="M294" i="2"/>
  <c r="M2" i="2"/>
  <c r="M282" i="2"/>
  <c r="M5" i="2"/>
</calcChain>
</file>

<file path=xl/sharedStrings.xml><?xml version="1.0" encoding="utf-8"?>
<sst xmlns="http://schemas.openxmlformats.org/spreadsheetml/2006/main" count="2010" uniqueCount="323">
  <si>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</si>
  <si>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</si>
  <si>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</si>
  <si>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</si>
  <si>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</si>
  <si>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</si>
  <si>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</si>
  <si>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</si>
  <si>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</si>
  <si>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</si>
  <si>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</si>
  <si>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</si>
  <si>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</si>
  <si>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</si>
  <si>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</si>
  <si>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</si>
  <si>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</si>
  <si>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</si>
  <si>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</si>
  <si>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</si>
  <si>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</si>
  <si>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</si>
  <si>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</si>
  <si>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</si>
  <si>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</si>
  <si>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</si>
  <si>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</si>
  <si>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</si>
  <si>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</si>
  <si>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</si>
  <si>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</si>
  <si>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</si>
  <si>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</si>
  <si>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</si>
  <si>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</si>
  <si>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</si>
  <si>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</si>
  <si>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</si>
  <si>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</si>
  <si>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</si>
  <si>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</si>
  <si>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</si>
  <si>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</si>
  <si>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</si>
  <si>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</si>
  <si>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</si>
  <si>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</si>
  <si>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</si>
  <si>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</si>
  <si>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</si>
  <si>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</si>
  <si>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</si>
  <si>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</si>
  <si>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</si>
  <si>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</si>
  <si>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</si>
  <si>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</si>
  <si>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</si>
  <si>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</si>
  <si>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</si>
  <si>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</si>
  <si>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</si>
  <si>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</si>
  <si>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</si>
  <si>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</si>
  <si>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</si>
  <si>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</si>
  <si>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</si>
  <si>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</si>
  <si>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</si>
  <si>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</si>
  <si>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</si>
  <si>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</si>
  <si>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</si>
  <si>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</si>
  <si>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</si>
  <si>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</si>
  <si>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</si>
  <si>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</si>
  <si>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</si>
  <si>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</si>
  <si>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</si>
  <si>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</si>
  <si>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</si>
  <si>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</si>
  <si>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</si>
  <si>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</si>
  <si>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</si>
  <si>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</si>
  <si>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</si>
  <si>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</si>
  <si>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</si>
  <si>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</si>
  <si>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</si>
  <si>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</si>
  <si>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</si>
  <si>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</si>
  <si>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</si>
  <si>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</si>
  <si>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</si>
  <si>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</si>
  <si>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</si>
  <si>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</si>
  <si>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</si>
  <si>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</si>
  <si>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</si>
  <si>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</si>
  <si>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</si>
  <si>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</si>
  <si>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</si>
  <si>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</si>
  <si>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</si>
  <si>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</si>
  <si>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</si>
  <si>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</si>
  <si>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</si>
  <si>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</si>
  <si>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</si>
  <si>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</si>
  <si>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</si>
  <si>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</si>
  <si>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</si>
  <si>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</si>
  <si>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</si>
  <si>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</si>
  <si>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</si>
  <si>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</si>
  <si>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</si>
  <si>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</si>
  <si>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</si>
  <si>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</si>
  <si>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</si>
  <si>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</si>
  <si>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</si>
  <si>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</si>
  <si>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</si>
  <si>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</si>
  <si>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</si>
  <si>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</si>
  <si>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</si>
  <si>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</si>
  <si>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</si>
  <si>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</si>
  <si>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</si>
  <si>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</si>
  <si>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</si>
  <si>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</si>
  <si>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</si>
  <si>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</si>
  <si>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</si>
  <si>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</si>
  <si>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</si>
  <si>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</si>
  <si>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</si>
  <si>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</si>
  <si>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</si>
  <si>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</si>
  <si>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</si>
  <si>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</si>
  <si>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</si>
  <si>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</si>
  <si>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</si>
  <si>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</si>
  <si>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</si>
  <si>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</si>
  <si>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</si>
  <si>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</si>
  <si>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</si>
  <si>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</si>
  <si>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</si>
  <si>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</si>
  <si>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</si>
  <si>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</si>
  <si>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</si>
  <si>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</si>
  <si>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</si>
  <si>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</si>
  <si>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</si>
  <si>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</si>
  <si>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</si>
  <si>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</si>
  <si>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</si>
  <si>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</si>
  <si>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</si>
  <si>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</si>
  <si>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</si>
  <si>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</si>
  <si>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</si>
  <si>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</si>
  <si>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</si>
  <si>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</si>
  <si>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</si>
  <si>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</si>
  <si>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</si>
  <si>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</si>
  <si>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</si>
  <si>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</si>
  <si>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</si>
  <si>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</si>
  <si>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</si>
  <si>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</si>
  <si>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</si>
  <si>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</si>
  <si>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</si>
  <si>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</si>
  <si>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</si>
  <si>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</si>
  <si>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</si>
  <si>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</si>
  <si>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</si>
  <si>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</si>
  <si>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</si>
  <si>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</si>
  <si>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</si>
  <si>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</si>
  <si>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</si>
  <si>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</si>
  <si>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</si>
  <si>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</si>
  <si>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</si>
  <si>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</si>
  <si>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</si>
  <si>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</si>
  <si>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</si>
  <si>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</si>
  <si>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</si>
  <si>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</si>
  <si>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</si>
  <si>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</si>
  <si>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</si>
  <si>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</si>
  <si>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</si>
  <si>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</si>
  <si>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</si>
  <si>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</si>
  <si>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</si>
  <si>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</si>
  <si>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</si>
  <si>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</si>
  <si>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</si>
  <si>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</si>
  <si>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</si>
  <si>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</si>
  <si>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</si>
  <si>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</si>
  <si>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</si>
  <si>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</si>
  <si>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</si>
  <si>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</si>
  <si>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</si>
  <si>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</si>
  <si>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</si>
  <si>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</si>
  <si>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</si>
  <si>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</si>
  <si>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</si>
  <si>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</si>
  <si>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</si>
  <si>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</si>
  <si>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</si>
  <si>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</si>
  <si>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</si>
  <si>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</si>
  <si>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</si>
  <si>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</si>
  <si>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</si>
  <si>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</si>
  <si>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</si>
  <si>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</si>
  <si>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</si>
  <si>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</si>
  <si>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</si>
  <si>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</si>
  <si>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</si>
  <si>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</si>
  <si>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</si>
  <si>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</si>
  <si>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</si>
  <si>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</si>
  <si>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</si>
  <si>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</si>
  <si>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</si>
  <si>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</si>
  <si>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</si>
  <si>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</si>
  <si>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</si>
  <si>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</si>
  <si>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</si>
  <si>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</si>
  <si>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</si>
  <si>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</si>
  <si>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</si>
  <si>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</si>
  <si>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</si>
  <si>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</si>
  <si>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</si>
  <si>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</si>
  <si>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</si>
  <si>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</si>
  <si>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</si>
  <si>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</si>
  <si>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</si>
  <si>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</si>
  <si>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</si>
  <si>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</si>
  <si>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</si>
  <si>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</si>
  <si>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</si>
  <si>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</si>
  <si>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</si>
  <si>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</si>
  <si>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</si>
  <si>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</si>
  <si>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Definindo KPIs para os indicadores</t>
  </si>
  <si>
    <t>Rótulos de Linha</t>
  </si>
  <si>
    <t>Total Geral</t>
  </si>
  <si>
    <t>Soma de Total Value</t>
  </si>
  <si>
    <t>Qual é o crescimento do número de assinantes ao longo dos meses?</t>
  </si>
  <si>
    <t>Qual plano tem maior adesão à renovação automática?</t>
  </si>
  <si>
    <t>Qual é a receita total acumulada até agora?</t>
  </si>
  <si>
    <t>Qual é a porcentagem de assinantes que optam pela renovação automática?</t>
  </si>
  <si>
    <t>Quantos assinantes adquiriram o EA Play Season Pass? E quantos adquiriram o Minecraft Season Pass?</t>
  </si>
  <si>
    <t>Qual é a receita total proveniente apenas dos planos anuais e com confirmação de renovação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</si>
</sst>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31772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3" fillId="0" borderId="0" xfId="0" applyNumberFormat="1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164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1772D"/>
      <color rgb="FFE8E6E9"/>
      <color rgb="FF4CB947"/>
      <color rgb="FF2AE6B1"/>
      <color rgb="FF22C55E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[base.xlsx]C̳álculos!Tabela dinâmica3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C̳álculos!$D$15:$D$17</c:f>
              <c:strCache>
                <c:ptCount val="2"/>
                <c:pt idx="0">
                  <c:v>Annual</c:v>
                </c:pt>
                <c:pt idx="1">
                  <c:v>Quarterly</c:v>
                </c:pt>
              </c:strCache>
            </c:strRef>
          </c:cat>
          <c:val>
            <c:numRef>
              <c:f>C̳álculos!$E$15:$E$17</c:f>
              <c:numCache>
                <c:formatCode>General</c:formatCode>
                <c:ptCount val="2"/>
                <c:pt idx="0">
                  <c:v>1162</c:v>
                </c:pt>
                <c:pt idx="1">
                  <c:v>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B-4516-8F73-4CDB0D28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1519680"/>
        <c:axId val="511516728"/>
      </c:barChart>
      <c:catAx>
        <c:axId val="51151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516728"/>
        <c:crosses val="autoZero"/>
        <c:auto val="1"/>
        <c:lblAlgn val="ctr"/>
        <c:lblOffset val="100"/>
        <c:noMultiLvlLbl val="0"/>
      </c:catAx>
      <c:valAx>
        <c:axId val="511516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519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svg"/><Relationship Id="rId9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15</xdr:row>
      <xdr:rowOff>66675</xdr:rowOff>
    </xdr:from>
    <xdr:to>
      <xdr:col>5</xdr:col>
      <xdr:colOff>457200</xdr:colOff>
      <xdr:row>20</xdr:row>
      <xdr:rowOff>136398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2952750"/>
          <a:ext cx="3267075" cy="974598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12</xdr:row>
      <xdr:rowOff>104775</xdr:rowOff>
    </xdr:from>
    <xdr:to>
      <xdr:col>15</xdr:col>
      <xdr:colOff>619125</xdr:colOff>
      <xdr:row>13</xdr:row>
      <xdr:rowOff>142875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182225" y="2438400"/>
          <a:ext cx="314325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171451</xdr:colOff>
      <xdr:row>12</xdr:row>
      <xdr:rowOff>171450</xdr:rowOff>
    </xdr:from>
    <xdr:to>
      <xdr:col>10</xdr:col>
      <xdr:colOff>400096</xdr:colOff>
      <xdr:row>17</xdr:row>
      <xdr:rowOff>171495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7396DF1-6C4A-4A50-9475-887B35590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6" y="2505075"/>
          <a:ext cx="914445" cy="91444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571500</xdr:colOff>
      <xdr:row>12</xdr:row>
      <xdr:rowOff>149224</xdr:rowOff>
    </xdr:from>
    <xdr:to>
      <xdr:col>12</xdr:col>
      <xdr:colOff>136526</xdr:colOff>
      <xdr:row>17</xdr:row>
      <xdr:rowOff>171450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B4D45C7-4F1B-42D4-A6C4-7896094F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5" y="2482849"/>
          <a:ext cx="936626" cy="936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495300</xdr:colOff>
      <xdr:row>14</xdr:row>
      <xdr:rowOff>66675</xdr:rowOff>
    </xdr:from>
    <xdr:to>
      <xdr:col>8</xdr:col>
      <xdr:colOff>1285875</xdr:colOff>
      <xdr:row>25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377ACA-C41F-4C57-910A-C705FC49C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1352550</xdr:colOff>
      <xdr:row>17</xdr:row>
      <xdr:rowOff>171450</xdr:rowOff>
    </xdr:from>
    <xdr:to>
      <xdr:col>5</xdr:col>
      <xdr:colOff>352425</xdr:colOff>
      <xdr:row>31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4E9F1C06-38E5-4876-8D6E-F931CE283B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4825" y="3248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238124</xdr:rowOff>
    </xdr:from>
    <xdr:to>
      <xdr:col>0</xdr:col>
      <xdr:colOff>1243263</xdr:colOff>
      <xdr:row>2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18F2FB-9D20-4825-A2DD-231A79795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867" b="-4441"/>
        <a:stretch/>
      </xdr:blipFill>
      <xdr:spPr>
        <a:xfrm>
          <a:off x="666750" y="238124"/>
          <a:ext cx="576513" cy="476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Prin3298" refreshedDate="46028.942665856484" createdVersion="7" refreshedVersion="7" minRefreshableVersion="3" recordCount="296" xr:uid="{47DCEDE9-8918-46C2-8070-0911F9BC93FD}">
  <cacheSource type="worksheet">
    <worksheetSource name="Tabela1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/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44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44">
      <sharedItems containsBlank="1" containsMixedTypes="1" containsNumber="1" containsInteger="1" minValue="0" maxValue="30"/>
    </cacheField>
    <cacheField name="Minecraft Season Pass" numFmtId="0">
      <sharedItems containsBlank="1"/>
    </cacheField>
    <cacheField name="Minecraft Season Pass Price" numFmtId="44">
      <sharedItems containsString="0" containsBlank="1" containsNumber="1" containsInteger="1" minValue="0" maxValue="20"/>
    </cacheField>
    <cacheField name="Coupon Value" numFmtId="44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160256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s v="Ultimate"/>
    <d v="2024-01-01T00:00:00"/>
    <x v="0"/>
    <n v="15"/>
    <x v="0"/>
    <s v="No"/>
    <n v="0"/>
    <s v="No"/>
    <n v="0"/>
    <n v="5"/>
    <n v="10"/>
  </r>
  <r>
    <n v="3232"/>
    <s v="Maria Oliveira"/>
    <s v="Core"/>
    <d v="2024-01-15T00:00:00"/>
    <x v="1"/>
    <n v="5"/>
    <x v="1"/>
    <s v="No"/>
    <s v="-"/>
    <s v="No"/>
    <n v="0"/>
    <n v="0"/>
    <n v="5"/>
  </r>
  <r>
    <n v="3233"/>
    <s v="Lucas Fernandes"/>
    <s v="Standard"/>
    <d v="2024-02-10T00:00:00"/>
    <x v="0"/>
    <n v="10"/>
    <x v="2"/>
    <s v="No"/>
    <s v="-"/>
    <s v="Yes"/>
    <n v="20"/>
    <n v="10"/>
    <n v="20"/>
  </r>
  <r>
    <n v="3234"/>
    <s v="Ana Souza"/>
    <s v="Standard"/>
    <d v="2024-02-20T00:00:00"/>
    <x v="1"/>
    <n v="10"/>
    <x v="0"/>
    <s v="No"/>
    <n v="0"/>
    <s v="Yes"/>
    <n v="20"/>
    <n v="3"/>
    <n v="27"/>
  </r>
  <r>
    <n v="3235"/>
    <s v="Pedro Gonçalves"/>
    <s v="Core"/>
    <d v="2024-03-05T00:00:00"/>
    <x v="0"/>
    <n v="5"/>
    <x v="0"/>
    <s v="No"/>
    <s v="-"/>
    <s v="No"/>
    <n v="0"/>
    <n v="1"/>
    <n v="4"/>
  </r>
  <r>
    <n v="3236"/>
    <s v="Felipe Costa"/>
    <s v="Standard"/>
    <d v="2024-03-02T00:00:00"/>
    <x v="1"/>
    <n v="10"/>
    <x v="0"/>
    <s v="No"/>
    <s v="-"/>
    <s v="Yes"/>
    <n v="20"/>
    <n v="2"/>
    <n v="28"/>
  </r>
  <r>
    <n v="3237"/>
    <s v="Camila Ribeiro"/>
    <s v="Ultimate"/>
    <d v="2024-03-03T00:00:00"/>
    <x v="0"/>
    <n v="15"/>
    <x v="2"/>
    <s v="Yes"/>
    <n v="30"/>
    <s v="Yes"/>
    <n v="20"/>
    <n v="10"/>
    <n v="55"/>
  </r>
  <r>
    <n v="3238"/>
    <s v="André Mendes"/>
    <s v="Core"/>
    <d v="2024-03-04T00:00:00"/>
    <x v="0"/>
    <n v="5"/>
    <x v="1"/>
    <s v="No"/>
    <s v="-"/>
    <s v="No"/>
    <n v="0"/>
    <n v="0"/>
    <n v="5"/>
  </r>
  <r>
    <n v="3239"/>
    <s v="Sofia Almeida"/>
    <s v="Ultimate"/>
    <d v="2024-03-05T00:00:00"/>
    <x v="1"/>
    <n v="15"/>
    <x v="0"/>
    <s v="Yes"/>
    <n v="30"/>
    <s v="Yes"/>
    <n v="20"/>
    <n v="5"/>
    <n v="60"/>
  </r>
  <r>
    <n v="3240"/>
    <s v="Bruno Martins"/>
    <s v="Standard"/>
    <d v="2024-03-06T00:00:00"/>
    <x v="0"/>
    <n v="10"/>
    <x v="2"/>
    <s v="No"/>
    <s v="-"/>
    <s v="Yes"/>
    <n v="20"/>
    <n v="15"/>
    <n v="15"/>
  </r>
  <r>
    <n v="3241"/>
    <s v="Rita Castro"/>
    <s v="Core"/>
    <d v="2024-03-07T00:00:00"/>
    <x v="1"/>
    <n v="5"/>
    <x v="0"/>
    <s v="No"/>
    <s v="-"/>
    <s v="No"/>
    <n v="0"/>
    <n v="1"/>
    <n v="4"/>
  </r>
  <r>
    <n v="3242"/>
    <s v="Marco Túlio"/>
    <s v="Ultimate"/>
    <d v="2024-03-08T00:00:00"/>
    <x v="0"/>
    <n v="15"/>
    <x v="1"/>
    <s v="No"/>
    <n v="0"/>
    <s v="Yes"/>
    <n v="20"/>
    <n v="20"/>
    <n v="15"/>
  </r>
  <r>
    <n v="3243"/>
    <s v="Lívia Silveira"/>
    <s v="Standard"/>
    <d v="2024-03-09T00:00:00"/>
    <x v="1"/>
    <n v="10"/>
    <x v="0"/>
    <s v="No"/>
    <s v="-"/>
    <s v="Yes"/>
    <n v="20"/>
    <n v="10"/>
    <n v="20"/>
  </r>
  <r>
    <n v="3244"/>
    <s v="Diogo Sousa"/>
    <s v="Core"/>
    <d v="2024-03-10T00:00:00"/>
    <x v="0"/>
    <n v="5"/>
    <x v="2"/>
    <s v="No"/>
    <s v="-"/>
    <s v="No"/>
    <n v="0"/>
    <n v="0"/>
    <n v="5"/>
  </r>
  <r>
    <n v="3245"/>
    <s v="Fernanda Lima"/>
    <s v="Core"/>
    <d v="2024-03-11T00:00:00"/>
    <x v="1"/>
    <n v="5"/>
    <x v="0"/>
    <s v="No"/>
    <n v="0"/>
    <s v="Yes"/>
    <n v="20"/>
    <n v="8"/>
    <n v="17"/>
  </r>
  <r>
    <n v="3246"/>
    <s v="Caio Pereira"/>
    <s v="Standard"/>
    <d v="2024-03-12T00:00:00"/>
    <x v="0"/>
    <n v="10"/>
    <x v="1"/>
    <s v="No"/>
    <s v="-"/>
    <s v="Yes"/>
    <n v="20"/>
    <n v="12"/>
    <n v="18"/>
  </r>
  <r>
    <n v="3247"/>
    <s v="Beatriz Gomes"/>
    <s v="Core"/>
    <d v="2024-03-13T00:00:00"/>
    <x v="1"/>
    <n v="5"/>
    <x v="0"/>
    <s v="No"/>
    <s v="-"/>
    <s v="No"/>
    <n v="0"/>
    <n v="2"/>
    <n v="3"/>
  </r>
  <r>
    <n v="3248"/>
    <s v="Cesar Oliveira"/>
    <s v="Ultimate"/>
    <d v="2024-03-14T00:00:00"/>
    <x v="0"/>
    <n v="15"/>
    <x v="2"/>
    <s v="No"/>
    <n v="0"/>
    <s v="Yes"/>
    <n v="20"/>
    <n v="7"/>
    <n v="28"/>
  </r>
  <r>
    <n v="3249"/>
    <s v="Débora Machado"/>
    <s v="Standard"/>
    <d v="2024-03-15T00:00:00"/>
    <x v="1"/>
    <n v="10"/>
    <x v="0"/>
    <s v="No"/>
    <s v="-"/>
    <s v="Yes"/>
    <n v="20"/>
    <n v="5"/>
    <n v="25"/>
  </r>
  <r>
    <n v="3250"/>
    <s v="Eduardo Vargas"/>
    <s v="Core"/>
    <d v="2024-03-16T00:00:00"/>
    <x v="0"/>
    <n v="5"/>
    <x v="1"/>
    <s v="No"/>
    <s v="-"/>
    <s v="No"/>
    <n v="0"/>
    <n v="0"/>
    <n v="5"/>
  </r>
  <r>
    <n v="3251"/>
    <s v="Gabriela Santos"/>
    <s v="Ultimate"/>
    <d v="2024-03-17T00:00:00"/>
    <x v="1"/>
    <n v="15"/>
    <x v="0"/>
    <s v="No"/>
    <n v="0"/>
    <s v="Yes"/>
    <n v="20"/>
    <n v="3"/>
    <n v="32"/>
  </r>
  <r>
    <n v="3252"/>
    <s v="Henrique Dias"/>
    <s v="Standard"/>
    <d v="2024-03-18T00:00:00"/>
    <x v="0"/>
    <n v="10"/>
    <x v="2"/>
    <s v="No"/>
    <s v="-"/>
    <s v="Yes"/>
    <n v="20"/>
    <n v="15"/>
    <n v="15"/>
  </r>
  <r>
    <n v="3253"/>
    <s v="Isabela Moreira"/>
    <s v="Core"/>
    <d v="2024-03-19T00:00:00"/>
    <x v="1"/>
    <n v="5"/>
    <x v="0"/>
    <s v="No"/>
    <s v="-"/>
    <s v="No"/>
    <n v="0"/>
    <n v="1"/>
    <n v="4"/>
  </r>
  <r>
    <n v="3254"/>
    <s v="Joaquim Barbosa"/>
    <s v="Standard"/>
    <d v="2024-03-20T00:00:00"/>
    <x v="0"/>
    <n v="10"/>
    <x v="1"/>
    <s v="No"/>
    <n v="0"/>
    <s v="Yes"/>
    <n v="20"/>
    <n v="20"/>
    <n v="10"/>
  </r>
  <r>
    <n v="3255"/>
    <s v="Lara Rocha"/>
    <s v="Standard"/>
    <d v="2024-03-21T00:00:00"/>
    <x v="1"/>
    <n v="10"/>
    <x v="0"/>
    <s v="No"/>
    <s v="-"/>
    <s v="Yes"/>
    <n v="20"/>
    <n v="10"/>
    <n v="20"/>
  </r>
  <r>
    <n v="3256"/>
    <s v="Matheus Silva"/>
    <s v="Core"/>
    <d v="2024-03-22T00:00:00"/>
    <x v="0"/>
    <n v="5"/>
    <x v="2"/>
    <s v="No"/>
    <s v="-"/>
    <s v="No"/>
    <n v="0"/>
    <n v="0"/>
    <n v="5"/>
  </r>
  <r>
    <n v="3257"/>
    <s v="Nicole Costa"/>
    <s v="Standard"/>
    <d v="2024-03-23T00:00:00"/>
    <x v="1"/>
    <n v="10"/>
    <x v="0"/>
    <s v="No"/>
    <n v="0"/>
    <s v="Yes"/>
    <n v="20"/>
    <n v="5"/>
    <n v="25"/>
  </r>
  <r>
    <n v="3258"/>
    <s v="Otávio Mendonça"/>
    <s v="Standard"/>
    <d v="2024-03-24T00:00:00"/>
    <x v="0"/>
    <n v="10"/>
    <x v="1"/>
    <s v="No"/>
    <s v="-"/>
    <s v="Yes"/>
    <n v="20"/>
    <n v="15"/>
    <n v="15"/>
  </r>
  <r>
    <n v="3259"/>
    <s v="Paula Ferreira"/>
    <s v="Core"/>
    <d v="2024-03-25T00:00:00"/>
    <x v="1"/>
    <n v="5"/>
    <x v="0"/>
    <s v="No"/>
    <s v="-"/>
    <s v="No"/>
    <n v="0"/>
    <n v="1"/>
    <n v="4"/>
  </r>
  <r>
    <n v="3260"/>
    <s v="Raquel Alves"/>
    <s v="Standard"/>
    <d v="2024-03-26T00:00:00"/>
    <x v="0"/>
    <n v="10"/>
    <x v="2"/>
    <s v="Yes"/>
    <n v="30"/>
    <s v="Yes"/>
    <n v="20"/>
    <n v="7"/>
    <n v="53"/>
  </r>
  <r>
    <n v="3261"/>
    <s v="Samuel Pires"/>
    <s v="Standard"/>
    <d v="2024-03-27T00:00:00"/>
    <x v="1"/>
    <n v="10"/>
    <x v="0"/>
    <s v="No"/>
    <s v="-"/>
    <s v="Yes"/>
    <n v="20"/>
    <n v="10"/>
    <n v="20"/>
  </r>
  <r>
    <n v="3262"/>
    <s v="Tânia Barros"/>
    <s v="Core"/>
    <d v="2024-03-28T00:00:00"/>
    <x v="0"/>
    <n v="5"/>
    <x v="1"/>
    <s v="No"/>
    <s v="-"/>
    <s v="No"/>
    <n v="0"/>
    <n v="0"/>
    <n v="5"/>
  </r>
  <r>
    <n v="3263"/>
    <s v="Vinicius Lima"/>
    <s v="Ultimate"/>
    <d v="2024-03-29T00:00:00"/>
    <x v="1"/>
    <n v="15"/>
    <x v="0"/>
    <s v="Yes"/>
    <n v="30"/>
    <s v="No"/>
    <n v="0"/>
    <n v="3"/>
    <n v="42"/>
  </r>
  <r>
    <n v="3264"/>
    <s v="Yasmin Teixeira"/>
    <s v="Standard"/>
    <d v="2024-03-30T00:00:00"/>
    <x v="0"/>
    <n v="10"/>
    <x v="2"/>
    <s v="No"/>
    <s v="-"/>
    <s v="Yes"/>
    <n v="20"/>
    <n v="15"/>
    <n v="15"/>
  </r>
  <r>
    <n v="3265"/>
    <s v="Zé Carlos"/>
    <s v="Core"/>
    <d v="2024-03-31T00:00:00"/>
    <x v="1"/>
    <n v="5"/>
    <x v="0"/>
    <s v="No"/>
    <s v="-"/>
    <s v="No"/>
    <n v="0"/>
    <n v="1"/>
    <n v="4"/>
  </r>
  <r>
    <n v="3266"/>
    <s v="Amanda Nogueira"/>
    <s v="Core"/>
    <d v="2024-04-01T00:00:00"/>
    <x v="0"/>
    <n v="5"/>
    <x v="0"/>
    <s v="No"/>
    <s v="-"/>
    <s v="No"/>
    <n v="0"/>
    <n v="0"/>
    <n v="5"/>
  </r>
  <r>
    <n v="3267"/>
    <s v="Bruno Cavalheiro"/>
    <s v="Ultimate"/>
    <d v="2024-04-02T00:00:00"/>
    <x v="1"/>
    <n v="15"/>
    <x v="2"/>
    <s v="No"/>
    <n v="0"/>
    <s v="Yes"/>
    <n v="20"/>
    <n v="7"/>
    <n v="28"/>
  </r>
  <r>
    <n v="3268"/>
    <s v="Carla Dias"/>
    <s v="Standard"/>
    <d v="2024-04-03T00:00:00"/>
    <x v="0"/>
    <n v="10"/>
    <x v="1"/>
    <s v="No"/>
    <s v="-"/>
    <s v="Yes"/>
    <n v="20"/>
    <n v="10"/>
    <n v="20"/>
  </r>
  <r>
    <n v="3269"/>
    <s v="Diego Fontes"/>
    <s v="Core"/>
    <d v="2024-04-04T00:00:00"/>
    <x v="1"/>
    <n v="5"/>
    <x v="2"/>
    <s v="No"/>
    <s v="-"/>
    <s v="No"/>
    <n v="0"/>
    <n v="1"/>
    <n v="4"/>
  </r>
  <r>
    <n v="3270"/>
    <s v="Eunice Lima"/>
    <s v="Ultimate"/>
    <d v="2024-04-05T00:00:00"/>
    <x v="0"/>
    <n v="15"/>
    <x v="0"/>
    <s v="No"/>
    <n v="0"/>
    <s v="Yes"/>
    <n v="20"/>
    <n v="15"/>
    <n v="20"/>
  </r>
  <r>
    <n v="3271"/>
    <s v="Fábio Martins"/>
    <s v="Standard"/>
    <d v="2024-04-06T00:00:00"/>
    <x v="1"/>
    <n v="10"/>
    <x v="0"/>
    <s v="No"/>
    <s v="-"/>
    <s v="Yes"/>
    <n v="20"/>
    <n v="5"/>
    <n v="25"/>
  </r>
  <r>
    <n v="3272"/>
    <s v="Gisele Araújo"/>
    <s v="Core"/>
    <d v="2024-04-07T00:00:00"/>
    <x v="0"/>
    <n v="5"/>
    <x v="1"/>
    <s v="No"/>
    <s v="-"/>
    <s v="No"/>
    <n v="0"/>
    <n v="0"/>
    <n v="5"/>
  </r>
  <r>
    <n v="3273"/>
    <s v="Hélio Castro"/>
    <s v="Core"/>
    <d v="2024-04-08T00:00:00"/>
    <x v="1"/>
    <n v="5"/>
    <x v="2"/>
    <s v="Yes"/>
    <n v="30"/>
    <s v="Yes"/>
    <n v="20"/>
    <n v="20"/>
    <n v="35"/>
  </r>
  <r>
    <n v="3274"/>
    <s v="Ingrid Menezes"/>
    <s v="Standard"/>
    <d v="2024-04-09T00:00:00"/>
    <x v="0"/>
    <n v="10"/>
    <x v="2"/>
    <s v="No"/>
    <s v="-"/>
    <s v="Yes"/>
    <n v="20"/>
    <n v="12"/>
    <n v="18"/>
  </r>
  <r>
    <n v="3275"/>
    <s v="Jorge Baptista"/>
    <s v="Core"/>
    <d v="2024-04-10T00:00:00"/>
    <x v="1"/>
    <n v="5"/>
    <x v="0"/>
    <s v="No"/>
    <s v="-"/>
    <s v="No"/>
    <n v="0"/>
    <n v="2"/>
    <n v="3"/>
  </r>
  <r>
    <n v="3276"/>
    <s v="Kléber Oliveira"/>
    <s v="Ultimate"/>
    <d v="2024-04-11T00:00:00"/>
    <x v="0"/>
    <n v="15"/>
    <x v="1"/>
    <s v="Yes"/>
    <n v="30"/>
    <s v="No"/>
    <n v="0"/>
    <n v="5"/>
    <n v="40"/>
  </r>
  <r>
    <n v="3277"/>
    <s v="Luciana Freitas"/>
    <s v="Standard"/>
    <d v="2024-04-12T00:00:00"/>
    <x v="1"/>
    <n v="10"/>
    <x v="0"/>
    <s v="No"/>
    <s v="-"/>
    <s v="Yes"/>
    <n v="20"/>
    <n v="10"/>
    <n v="20"/>
  </r>
  <r>
    <n v="3278"/>
    <s v="Márcia Eller"/>
    <s v="Core"/>
    <d v="2024-04-13T00:00:00"/>
    <x v="0"/>
    <n v="5"/>
    <x v="2"/>
    <s v="No"/>
    <s v="-"/>
    <s v="No"/>
    <n v="0"/>
    <n v="0"/>
    <n v="5"/>
  </r>
  <r>
    <n v="3279"/>
    <s v="Nilo Peçanha"/>
    <s v="Ultimate"/>
    <d v="2024-04-14T00:00:00"/>
    <x v="1"/>
    <n v="15"/>
    <x v="0"/>
    <s v="Yes"/>
    <n v="30"/>
    <s v="Yes"/>
    <n v="20"/>
    <n v="3"/>
    <n v="62"/>
  </r>
  <r>
    <n v="3280"/>
    <s v="Oscar Neves"/>
    <s v="Standard"/>
    <d v="2024-04-15T00:00:00"/>
    <x v="0"/>
    <n v="10"/>
    <x v="1"/>
    <s v="No"/>
    <s v="-"/>
    <s v="Yes"/>
    <n v="20"/>
    <n v="15"/>
    <n v="15"/>
  </r>
  <r>
    <n v="3281"/>
    <s v="Patrícia Soares"/>
    <s v="Core"/>
    <d v="2024-04-16T00:00:00"/>
    <x v="1"/>
    <n v="5"/>
    <x v="0"/>
    <s v="No"/>
    <s v="-"/>
    <s v="No"/>
    <n v="0"/>
    <n v="1"/>
    <n v="4"/>
  </r>
  <r>
    <n v="3282"/>
    <s v="Quirino Gonçalves"/>
    <s v="Ultimate"/>
    <d v="2024-04-17T00:00:00"/>
    <x v="0"/>
    <n v="15"/>
    <x v="2"/>
    <s v="Yes"/>
    <n v="30"/>
    <s v="No"/>
    <n v="0"/>
    <n v="7"/>
    <n v="38"/>
  </r>
  <r>
    <n v="3283"/>
    <s v="Raul Machado"/>
    <s v="Standard"/>
    <d v="2024-04-18T00:00:00"/>
    <x v="1"/>
    <n v="10"/>
    <x v="0"/>
    <s v="No"/>
    <s v="-"/>
    <s v="Yes"/>
    <n v="20"/>
    <n v="10"/>
    <n v="20"/>
  </r>
  <r>
    <n v="3284"/>
    <s v="Sônia Lobo"/>
    <s v="Core"/>
    <d v="2024-04-19T00:00:00"/>
    <x v="0"/>
    <n v="5"/>
    <x v="1"/>
    <s v="No"/>
    <s v="-"/>
    <s v="No"/>
    <n v="0"/>
    <n v="0"/>
    <n v="5"/>
  </r>
  <r>
    <n v="3285"/>
    <s v="Tiago Ramos"/>
    <s v="Core"/>
    <d v="2024-04-20T00:00:00"/>
    <x v="1"/>
    <n v="5"/>
    <x v="0"/>
    <s v="Yes"/>
    <n v="30"/>
    <s v="Yes"/>
    <n v="20"/>
    <n v="20"/>
    <n v="35"/>
  </r>
  <r>
    <n v="3286"/>
    <s v="Ugo Pires"/>
    <s v="Standard"/>
    <d v="2024-04-21T00:00:00"/>
    <x v="0"/>
    <n v="10"/>
    <x v="2"/>
    <s v="No"/>
    <s v="-"/>
    <s v="Yes"/>
    <n v="20"/>
    <n v="15"/>
    <n v="15"/>
  </r>
  <r>
    <n v="3287"/>
    <s v="Valéria Nobre"/>
    <s v="Core"/>
    <d v="2024-04-22T00:00:00"/>
    <x v="1"/>
    <n v="5"/>
    <x v="0"/>
    <s v="No"/>
    <s v="-"/>
    <s v="No"/>
    <n v="0"/>
    <n v="1"/>
    <n v="4"/>
  </r>
  <r>
    <n v="3288"/>
    <s v="William Siqueira"/>
    <s v="Core"/>
    <d v="2024-04-23T00:00:00"/>
    <x v="0"/>
    <n v="5"/>
    <x v="1"/>
    <s v="Yes"/>
    <n v="30"/>
    <s v="No"/>
    <n v="0"/>
    <n v="3"/>
    <n v="32"/>
  </r>
  <r>
    <n v="3289"/>
    <s v="Xuxa Meneghel"/>
    <s v="Standard"/>
    <d v="2024-04-24T00:00:00"/>
    <x v="1"/>
    <n v="10"/>
    <x v="0"/>
    <s v="No"/>
    <s v="-"/>
    <s v="Yes"/>
    <n v="20"/>
    <n v="10"/>
    <n v="20"/>
  </r>
  <r>
    <n v="3290"/>
    <s v="Yara Figueiredo"/>
    <s v="Core"/>
    <d v="2024-04-25T00:00:00"/>
    <x v="0"/>
    <n v="5"/>
    <x v="2"/>
    <s v="No"/>
    <s v="-"/>
    <s v="No"/>
    <n v="0"/>
    <n v="0"/>
    <n v="5"/>
  </r>
  <r>
    <n v="3291"/>
    <s v="Zacarias Alves"/>
    <s v="Core"/>
    <d v="2024-04-26T00:00:00"/>
    <x v="1"/>
    <n v="5"/>
    <x v="0"/>
    <s v="Yes"/>
    <n v="30"/>
    <s v="Yes"/>
    <n v="20"/>
    <n v="5"/>
    <n v="50"/>
  </r>
  <r>
    <n v="3292"/>
    <s v="Amanda Bynes"/>
    <s v="Standard"/>
    <d v="2024-04-27T00:00:00"/>
    <x v="0"/>
    <n v="10"/>
    <x v="1"/>
    <s v="No"/>
    <s v="-"/>
    <s v="Yes"/>
    <n v="20"/>
    <n v="15"/>
    <n v="15"/>
  </r>
  <r>
    <n v="3293"/>
    <s v="Bruno Mars"/>
    <s v="Core"/>
    <d v="2024-04-28T00:00:00"/>
    <x v="1"/>
    <n v="5"/>
    <x v="0"/>
    <s v="No"/>
    <s v="-"/>
    <s v="No"/>
    <n v="0"/>
    <n v="1"/>
    <n v="4"/>
  </r>
  <r>
    <n v="3294"/>
    <s v="Carla Bruni"/>
    <s v="Core"/>
    <d v="2024-04-29T00:00:00"/>
    <x v="0"/>
    <n v="5"/>
    <x v="2"/>
    <s v="Yes"/>
    <n v="30"/>
    <s v="Yes"/>
    <n v="20"/>
    <n v="20"/>
    <n v="35"/>
  </r>
  <r>
    <n v="3295"/>
    <s v="Diego Maradona"/>
    <s v="Standard"/>
    <d v="2024-04-30T00:00:00"/>
    <x v="1"/>
    <n v="10"/>
    <x v="0"/>
    <s v="No"/>
    <s v="-"/>
    <s v="Yes"/>
    <n v="20"/>
    <n v="5"/>
    <n v="25"/>
  </r>
  <r>
    <n v="3296"/>
    <s v="Estela Marques"/>
    <s v="Core"/>
    <d v="2024-05-01T00:00:00"/>
    <x v="1"/>
    <n v="5"/>
    <x v="0"/>
    <s v="No"/>
    <s v="-"/>
    <s v="No"/>
    <n v="0"/>
    <n v="0"/>
    <n v="5"/>
  </r>
  <r>
    <n v="3297"/>
    <s v="Fábio Nobre"/>
    <s v="Core"/>
    <d v="2024-05-02T00:00:00"/>
    <x v="0"/>
    <n v="5"/>
    <x v="2"/>
    <s v="Yes"/>
    <n v="30"/>
    <s v="Yes"/>
    <n v="20"/>
    <n v="7"/>
    <n v="48"/>
  </r>
  <r>
    <n v="3298"/>
    <s v="Gabriel Oliveira"/>
    <s v="Standard"/>
    <d v="2024-05-03T00:00:00"/>
    <x v="1"/>
    <n v="10"/>
    <x v="1"/>
    <s v="No"/>
    <s v="-"/>
    <s v="Yes"/>
    <n v="20"/>
    <n v="10"/>
    <n v="20"/>
  </r>
  <r>
    <n v="3299"/>
    <s v="Helena Santos"/>
    <s v="Core"/>
    <d v="2024-05-04T00:00:00"/>
    <x v="0"/>
    <n v="5"/>
    <x v="2"/>
    <s v="No"/>
    <s v="-"/>
    <s v="No"/>
    <n v="0"/>
    <n v="1"/>
    <n v="4"/>
  </r>
  <r>
    <n v="3300"/>
    <s v="Ivan Carvalho"/>
    <s v="Core"/>
    <d v="2024-05-05T00:00:00"/>
    <x v="1"/>
    <n v="5"/>
    <x v="0"/>
    <s v="Yes"/>
    <n v="30"/>
    <s v="No"/>
    <n v="0"/>
    <n v="15"/>
    <n v="20"/>
  </r>
  <r>
    <n v="3301"/>
    <s v="Júlia Ferreira"/>
    <s v="Standard"/>
    <d v="2024-05-06T00:00:00"/>
    <x v="0"/>
    <n v="10"/>
    <x v="0"/>
    <s v="No"/>
    <s v="-"/>
    <s v="Yes"/>
    <n v="20"/>
    <n v="5"/>
    <n v="25"/>
  </r>
  <r>
    <n v="3302"/>
    <s v="Karla Alves"/>
    <s v="Core"/>
    <d v="2024-05-07T00:00:00"/>
    <x v="1"/>
    <n v="5"/>
    <x v="1"/>
    <s v="No"/>
    <s v="-"/>
    <s v="No"/>
    <n v="0"/>
    <n v="0"/>
    <n v="5"/>
  </r>
  <r>
    <n v="3303"/>
    <s v="Lucas Mendes"/>
    <s v="Ultimate"/>
    <d v="2024-05-08T00:00:00"/>
    <x v="0"/>
    <n v="15"/>
    <x v="2"/>
    <s v="Yes"/>
    <n v="30"/>
    <s v="Yes"/>
    <n v="20"/>
    <n v="20"/>
    <n v="45"/>
  </r>
  <r>
    <n v="3304"/>
    <s v="Mônica Gomes"/>
    <s v="Standard"/>
    <d v="2024-05-09T00:00:00"/>
    <x v="1"/>
    <n v="10"/>
    <x v="2"/>
    <s v="No"/>
    <s v="-"/>
    <s v="Yes"/>
    <n v="20"/>
    <n v="12"/>
    <n v="18"/>
  </r>
  <r>
    <n v="3305"/>
    <s v="Norberto Queiroz"/>
    <s v="Core"/>
    <d v="2024-05-10T00:00:00"/>
    <x v="0"/>
    <n v="5"/>
    <x v="0"/>
    <s v="No"/>
    <s v="-"/>
    <s v="No"/>
    <n v="0"/>
    <n v="2"/>
    <n v="3"/>
  </r>
  <r>
    <n v="3306"/>
    <s v="Otávio Barros"/>
    <s v="Ultimate"/>
    <d v="2024-05-11T00:00:00"/>
    <x v="1"/>
    <n v="15"/>
    <x v="1"/>
    <s v="Yes"/>
    <n v="30"/>
    <s v="Yes"/>
    <n v="20"/>
    <n v="5"/>
    <n v="60"/>
  </r>
  <r>
    <n v="3307"/>
    <s v="Paula Vieira"/>
    <s v="Standard"/>
    <d v="2024-05-12T00:00:00"/>
    <x v="0"/>
    <n v="10"/>
    <x v="0"/>
    <s v="No"/>
    <s v="-"/>
    <s v="Yes"/>
    <n v="20"/>
    <n v="10"/>
    <n v="20"/>
  </r>
  <r>
    <n v="3308"/>
    <s v="Quentin Ramos"/>
    <s v="Core"/>
    <d v="2024-05-13T00:00:00"/>
    <x v="1"/>
    <n v="5"/>
    <x v="2"/>
    <s v="No"/>
    <s v="-"/>
    <s v="No"/>
    <n v="0"/>
    <n v="0"/>
    <n v="5"/>
  </r>
  <r>
    <n v="3309"/>
    <s v="Raquel Novaes"/>
    <s v="Standard"/>
    <d v="2024-05-14T00:00:00"/>
    <x v="0"/>
    <n v="10"/>
    <x v="0"/>
    <s v="Yes"/>
    <n v="30"/>
    <s v="Yes"/>
    <n v="20"/>
    <n v="3"/>
    <n v="57"/>
  </r>
  <r>
    <n v="3310"/>
    <s v="Samantha Lopes"/>
    <s v="Standard"/>
    <d v="2024-05-15T00:00:00"/>
    <x v="1"/>
    <n v="10"/>
    <x v="1"/>
    <s v="No"/>
    <s v="-"/>
    <s v="Yes"/>
    <n v="20"/>
    <n v="15"/>
    <n v="15"/>
  </r>
  <r>
    <n v="3311"/>
    <s v="Tiago Martins"/>
    <s v="Core"/>
    <d v="2024-05-16T00:00:00"/>
    <x v="0"/>
    <n v="5"/>
    <x v="0"/>
    <s v="No"/>
    <s v="-"/>
    <s v="No"/>
    <n v="0"/>
    <n v="1"/>
    <n v="4"/>
  </r>
  <r>
    <n v="3312"/>
    <s v="Ulysses Guimarães"/>
    <s v="Standard"/>
    <d v="2024-05-17T00:00:00"/>
    <x v="1"/>
    <n v="10"/>
    <x v="2"/>
    <s v="Yes"/>
    <n v="30"/>
    <s v="Yes"/>
    <n v="20"/>
    <n v="7"/>
    <n v="53"/>
  </r>
  <r>
    <n v="3313"/>
    <s v="Vanessa Silva"/>
    <s v="Standard"/>
    <d v="2024-05-18T00:00:00"/>
    <x v="0"/>
    <n v="10"/>
    <x v="0"/>
    <s v="No"/>
    <s v="-"/>
    <s v="Yes"/>
    <n v="20"/>
    <n v="10"/>
    <n v="20"/>
  </r>
  <r>
    <n v="3314"/>
    <s v="William Carneiro"/>
    <s v="Core"/>
    <d v="2024-05-19T00:00:00"/>
    <x v="1"/>
    <n v="5"/>
    <x v="1"/>
    <s v="No"/>
    <s v="-"/>
    <s v="No"/>
    <n v="0"/>
    <n v="0"/>
    <n v="5"/>
  </r>
  <r>
    <n v="3315"/>
    <s v="Ximena Rocha"/>
    <s v="Standard"/>
    <d v="2024-05-20T00:00:00"/>
    <x v="0"/>
    <n v="10"/>
    <x v="0"/>
    <s v="Yes"/>
    <n v="30"/>
    <s v="Yes"/>
    <n v="20"/>
    <n v="20"/>
    <n v="40"/>
  </r>
  <r>
    <n v="3316"/>
    <s v="Yasmin Figueiredo"/>
    <s v="Standard"/>
    <d v="2024-05-21T00:00:00"/>
    <x v="1"/>
    <n v="10"/>
    <x v="2"/>
    <s v="No"/>
    <s v="-"/>
    <s v="Yes"/>
    <n v="20"/>
    <n v="15"/>
    <n v="15"/>
  </r>
  <r>
    <n v="3317"/>
    <s v="Zara Cunha"/>
    <s v="Core"/>
    <d v="2024-05-22T00:00:00"/>
    <x v="0"/>
    <n v="5"/>
    <x v="0"/>
    <s v="No"/>
    <s v="-"/>
    <s v="No"/>
    <n v="0"/>
    <n v="1"/>
    <n v="4"/>
  </r>
  <r>
    <n v="3318"/>
    <s v="Alan Teixeira"/>
    <s v="Standard"/>
    <d v="2024-05-23T00:00:00"/>
    <x v="1"/>
    <n v="10"/>
    <x v="1"/>
    <s v="Yes"/>
    <n v="30"/>
    <s v="Yes"/>
    <n v="20"/>
    <n v="3"/>
    <n v="57"/>
  </r>
  <r>
    <n v="3319"/>
    <s v="Bárbara Oliveira"/>
    <s v="Standard"/>
    <d v="2024-05-24T00:00:00"/>
    <x v="0"/>
    <n v="10"/>
    <x v="0"/>
    <s v="No"/>
    <s v="-"/>
    <s v="Yes"/>
    <n v="20"/>
    <n v="10"/>
    <n v="20"/>
  </r>
  <r>
    <n v="3320"/>
    <s v="Carlos Junqueira"/>
    <s v="Core"/>
    <d v="2024-05-25T00:00:00"/>
    <x v="1"/>
    <n v="5"/>
    <x v="2"/>
    <s v="No"/>
    <s v="-"/>
    <s v="No"/>
    <n v="0"/>
    <n v="0"/>
    <n v="5"/>
  </r>
  <r>
    <n v="3321"/>
    <s v="Daniela Moura"/>
    <s v="Standard"/>
    <d v="2024-05-26T00:00:00"/>
    <x v="0"/>
    <n v="10"/>
    <x v="0"/>
    <s v="Yes"/>
    <n v="30"/>
    <s v="No"/>
    <n v="0"/>
    <n v="5"/>
    <n v="35"/>
  </r>
  <r>
    <n v="3322"/>
    <s v="Eduardo Lima"/>
    <s v="Standard"/>
    <d v="2024-05-27T00:00:00"/>
    <x v="1"/>
    <n v="10"/>
    <x v="1"/>
    <s v="No"/>
    <s v="-"/>
    <s v="Yes"/>
    <n v="20"/>
    <n v="15"/>
    <n v="15"/>
  </r>
  <r>
    <n v="3323"/>
    <s v="Fabiana Araújo"/>
    <s v="Core"/>
    <d v="2024-05-28T00:00:00"/>
    <x v="0"/>
    <n v="5"/>
    <x v="0"/>
    <s v="No"/>
    <s v="-"/>
    <s v="No"/>
    <n v="0"/>
    <n v="1"/>
    <n v="4"/>
  </r>
  <r>
    <n v="3324"/>
    <s v="Geraldo Ribeiro"/>
    <s v="Standard"/>
    <d v="2024-05-29T00:00:00"/>
    <x v="1"/>
    <n v="10"/>
    <x v="2"/>
    <s v="Yes"/>
    <n v="30"/>
    <s v="Yes"/>
    <n v="20"/>
    <n v="20"/>
    <n v="40"/>
  </r>
  <r>
    <n v="3325"/>
    <s v="Héctor Vargas"/>
    <s v="Standard"/>
    <d v="2024-05-30T00:00:00"/>
    <x v="0"/>
    <n v="10"/>
    <x v="2"/>
    <s v="No"/>
    <s v="-"/>
    <s v="Yes"/>
    <n v="20"/>
    <n v="15"/>
    <n v="15"/>
  </r>
  <r>
    <n v="3326"/>
    <s v="Isabela Fonseca"/>
    <s v="Core"/>
    <d v="2024-05-31T00:00:00"/>
    <x v="1"/>
    <n v="5"/>
    <x v="1"/>
    <s v="No"/>
    <s v="-"/>
    <s v="No"/>
    <n v="0"/>
    <n v="0"/>
    <n v="5"/>
  </r>
  <r>
    <n v="3327"/>
    <s v="João Pedro Almeida"/>
    <s v="Standard"/>
    <d v="2024-06-01T00:00:00"/>
    <x v="0"/>
    <n v="10"/>
    <x v="0"/>
    <s v="Yes"/>
    <n v="30"/>
    <s v="Yes"/>
    <n v="20"/>
    <n v="7"/>
    <n v="53"/>
  </r>
  <r>
    <n v="3328"/>
    <s v="Klara Costa"/>
    <s v="Standard"/>
    <d v="2024-06-02T00:00:00"/>
    <x v="1"/>
    <n v="10"/>
    <x v="1"/>
    <s v="No"/>
    <s v="-"/>
    <s v="Yes"/>
    <n v="20"/>
    <n v="10"/>
    <n v="20"/>
  </r>
  <r>
    <n v="3329"/>
    <s v="Luciana Mendes"/>
    <s v="Core"/>
    <d v="2024-06-03T00:00:00"/>
    <x v="0"/>
    <n v="5"/>
    <x v="2"/>
    <s v="No"/>
    <s v="-"/>
    <s v="No"/>
    <n v="0"/>
    <n v="1"/>
    <n v="4"/>
  </r>
  <r>
    <n v="3330"/>
    <s v="Marcelo Gouveia"/>
    <s v="Ultimate"/>
    <d v="2024-06-04T00:00:00"/>
    <x v="1"/>
    <n v="15"/>
    <x v="0"/>
    <s v="Yes"/>
    <n v="30"/>
    <s v="Yes"/>
    <n v="20"/>
    <n v="15"/>
    <n v="50"/>
  </r>
  <r>
    <n v="3331"/>
    <s v="Nívea Borges"/>
    <s v="Standard"/>
    <d v="2024-06-05T00:00:00"/>
    <x v="0"/>
    <n v="10"/>
    <x v="0"/>
    <s v="No"/>
    <s v="-"/>
    <s v="Yes"/>
    <n v="20"/>
    <n v="5"/>
    <n v="25"/>
  </r>
  <r>
    <n v="3332"/>
    <s v="Oscar Nogueira"/>
    <s v="Core"/>
    <d v="2024-06-06T00:00:00"/>
    <x v="1"/>
    <n v="5"/>
    <x v="1"/>
    <s v="No"/>
    <s v="-"/>
    <s v="No"/>
    <n v="0"/>
    <n v="0"/>
    <n v="5"/>
  </r>
  <r>
    <n v="3333"/>
    <s v="Patrícia Alves"/>
    <s v="Ultimate"/>
    <d v="2024-06-07T00:00:00"/>
    <x v="0"/>
    <n v="15"/>
    <x v="2"/>
    <s v="Yes"/>
    <n v="30"/>
    <s v="Yes"/>
    <n v="20"/>
    <n v="20"/>
    <n v="45"/>
  </r>
  <r>
    <n v="3334"/>
    <s v="Rafaela Silva"/>
    <s v="Standard"/>
    <d v="2024-06-08T00:00:00"/>
    <x v="1"/>
    <n v="10"/>
    <x v="2"/>
    <s v="No"/>
    <s v="-"/>
    <s v="Yes"/>
    <n v="20"/>
    <n v="12"/>
    <n v="18"/>
  </r>
  <r>
    <n v="3335"/>
    <s v="Samantha Moraes"/>
    <s v="Core"/>
    <d v="2024-06-09T00:00:00"/>
    <x v="0"/>
    <n v="5"/>
    <x v="0"/>
    <s v="No"/>
    <s v="-"/>
    <s v="No"/>
    <n v="0"/>
    <n v="2"/>
    <n v="3"/>
  </r>
  <r>
    <n v="3336"/>
    <s v="Tatiana Rocha"/>
    <s v="Core"/>
    <d v="2024-06-10T00:00:00"/>
    <x v="0"/>
    <n v="5"/>
    <x v="0"/>
    <s v="No"/>
    <s v="-"/>
    <s v="No"/>
    <n v="0"/>
    <n v="0"/>
    <n v="5"/>
  </r>
  <r>
    <n v="3337"/>
    <s v="Ulisses Tavares"/>
    <s v="Core"/>
    <d v="2024-06-11T00:00:00"/>
    <x v="1"/>
    <n v="5"/>
    <x v="2"/>
    <s v="Yes"/>
    <n v="30"/>
    <s v="Yes"/>
    <n v="20"/>
    <n v="7"/>
    <n v="48"/>
  </r>
  <r>
    <n v="3338"/>
    <s v="Víctor Lemos"/>
    <s v="Standard"/>
    <d v="2024-06-12T00:00:00"/>
    <x v="0"/>
    <n v="10"/>
    <x v="1"/>
    <s v="No"/>
    <s v="-"/>
    <s v="Yes"/>
    <n v="20"/>
    <n v="10"/>
    <n v="20"/>
  </r>
  <r>
    <n v="3339"/>
    <s v="Wilma Barros"/>
    <s v="Core"/>
    <d v="2024-06-13T00:00:00"/>
    <x v="1"/>
    <n v="5"/>
    <x v="2"/>
    <s v="No"/>
    <s v="-"/>
    <s v="No"/>
    <n v="0"/>
    <n v="1"/>
    <n v="4"/>
  </r>
  <r>
    <n v="3340"/>
    <s v="Xavier Nascimento"/>
    <s v="Ultimate"/>
    <d v="2024-06-14T00:00:00"/>
    <x v="0"/>
    <n v="15"/>
    <x v="0"/>
    <s v="Yes"/>
    <n v="30"/>
    <s v="Yes"/>
    <n v="20"/>
    <n v="15"/>
    <n v="50"/>
  </r>
  <r>
    <n v="3341"/>
    <s v="Yago Pereira"/>
    <s v="Standard"/>
    <d v="2024-06-15T00:00:00"/>
    <x v="1"/>
    <n v="10"/>
    <x v="0"/>
    <s v="No"/>
    <s v="-"/>
    <s v="Yes"/>
    <n v="20"/>
    <n v="5"/>
    <n v="25"/>
  </r>
  <r>
    <n v="3342"/>
    <s v="Zilda Ferreira"/>
    <s v="Core"/>
    <d v="2024-06-16T00:00:00"/>
    <x v="0"/>
    <n v="5"/>
    <x v="1"/>
    <s v="No"/>
    <s v="-"/>
    <s v="No"/>
    <n v="0"/>
    <n v="0"/>
    <n v="5"/>
  </r>
  <r>
    <n v="3343"/>
    <s v="Amanda Lopes"/>
    <s v="Standard"/>
    <d v="2024-06-17T00:00:00"/>
    <x v="1"/>
    <n v="10"/>
    <x v="2"/>
    <s v="Yes"/>
    <n v="30"/>
    <s v="Yes"/>
    <n v="20"/>
    <n v="20"/>
    <n v="40"/>
  </r>
  <r>
    <n v="3344"/>
    <s v="Bruno Miranda"/>
    <s v="Standard"/>
    <d v="2024-06-18T00:00:00"/>
    <x v="0"/>
    <n v="10"/>
    <x v="2"/>
    <s v="No"/>
    <s v="-"/>
    <s v="Yes"/>
    <n v="20"/>
    <n v="12"/>
    <n v="18"/>
  </r>
  <r>
    <n v="3345"/>
    <s v="Célia Torres"/>
    <s v="Core"/>
    <d v="2024-06-19T00:00:00"/>
    <x v="1"/>
    <n v="5"/>
    <x v="0"/>
    <s v="No"/>
    <s v="-"/>
    <s v="No"/>
    <n v="0"/>
    <n v="2"/>
    <n v="3"/>
  </r>
  <r>
    <n v="3346"/>
    <s v="Diogo Souza"/>
    <s v="Standard"/>
    <d v="2024-06-20T00:00:00"/>
    <x v="0"/>
    <n v="10"/>
    <x v="1"/>
    <s v="Yes"/>
    <n v="30"/>
    <s v="Yes"/>
    <n v="20"/>
    <n v="5"/>
    <n v="55"/>
  </r>
  <r>
    <n v="3347"/>
    <s v="Elisa Castro"/>
    <s v="Standard"/>
    <d v="2024-06-21T00:00:00"/>
    <x v="1"/>
    <n v="10"/>
    <x v="0"/>
    <s v="No"/>
    <s v="-"/>
    <s v="Yes"/>
    <n v="20"/>
    <n v="10"/>
    <n v="20"/>
  </r>
  <r>
    <n v="3348"/>
    <s v="Fátima Lima"/>
    <s v="Core"/>
    <d v="2024-06-22T00:00:00"/>
    <x v="0"/>
    <n v="5"/>
    <x v="2"/>
    <s v="No"/>
    <s v="-"/>
    <s v="No"/>
    <n v="0"/>
    <n v="0"/>
    <n v="5"/>
  </r>
  <r>
    <n v="3349"/>
    <s v="Geraldo Ribeiro"/>
    <s v="Standard"/>
    <d v="2024-06-23T00:00:00"/>
    <x v="1"/>
    <n v="10"/>
    <x v="0"/>
    <s v="Yes"/>
    <n v="30"/>
    <s v="Yes"/>
    <n v="20"/>
    <n v="3"/>
    <n v="57"/>
  </r>
  <r>
    <n v="3350"/>
    <s v="Hélio Martins"/>
    <s v="Standard"/>
    <d v="2024-06-24T00:00:00"/>
    <x v="0"/>
    <n v="10"/>
    <x v="1"/>
    <s v="No"/>
    <s v="-"/>
    <s v="Yes"/>
    <n v="20"/>
    <n v="15"/>
    <n v="15"/>
  </r>
  <r>
    <n v="3351"/>
    <s v="Íris Santos"/>
    <s v="Core"/>
    <d v="2024-06-25T00:00:00"/>
    <x v="1"/>
    <n v="5"/>
    <x v="0"/>
    <s v="No"/>
    <s v="-"/>
    <s v="No"/>
    <n v="0"/>
    <n v="1"/>
    <n v="4"/>
  </r>
  <r>
    <n v="3352"/>
    <s v="João Marcelo"/>
    <s v="Standard"/>
    <d v="2024-06-26T00:00:00"/>
    <x v="0"/>
    <n v="10"/>
    <x v="2"/>
    <s v="Yes"/>
    <n v="30"/>
    <s v="Yes"/>
    <n v="20"/>
    <n v="7"/>
    <n v="53"/>
  </r>
  <r>
    <n v="3353"/>
    <s v="Larissa Gomes"/>
    <s v="Standard"/>
    <d v="2024-06-27T00:00:00"/>
    <x v="1"/>
    <n v="10"/>
    <x v="0"/>
    <s v="No"/>
    <s v="-"/>
    <s v="Yes"/>
    <n v="20"/>
    <n v="10"/>
    <n v="20"/>
  </r>
  <r>
    <n v="3354"/>
    <s v="Márcio Silva"/>
    <s v="Core"/>
    <d v="2024-06-28T00:00:00"/>
    <x v="0"/>
    <n v="5"/>
    <x v="1"/>
    <s v="No"/>
    <s v="-"/>
    <s v="No"/>
    <n v="0"/>
    <n v="0"/>
    <n v="5"/>
  </r>
  <r>
    <n v="3355"/>
    <s v="Nadia Costa"/>
    <s v="Standard"/>
    <d v="2024-06-29T00:00:00"/>
    <x v="1"/>
    <n v="10"/>
    <x v="0"/>
    <s v="Yes"/>
    <n v="30"/>
    <s v="Yes"/>
    <n v="20"/>
    <n v="20"/>
    <n v="40"/>
  </r>
  <r>
    <n v="3356"/>
    <s v="Oscar Almeida"/>
    <s v="Standard"/>
    <d v="2024-06-30T00:00:00"/>
    <x v="0"/>
    <n v="10"/>
    <x v="2"/>
    <s v="No"/>
    <s v="-"/>
    <s v="Yes"/>
    <n v="20"/>
    <n v="15"/>
    <n v="15"/>
  </r>
  <r>
    <n v="3357"/>
    <s v="Patricia Soares"/>
    <s v="Core"/>
    <d v="2024-07-01T00:00:00"/>
    <x v="1"/>
    <n v="5"/>
    <x v="0"/>
    <s v="No"/>
    <s v="-"/>
    <s v="No"/>
    <n v="0"/>
    <n v="1"/>
    <n v="4"/>
  </r>
  <r>
    <n v="3358"/>
    <s v="Quênia Barros"/>
    <s v="Core"/>
    <d v="2024-07-02T00:00:00"/>
    <x v="0"/>
    <n v="5"/>
    <x v="1"/>
    <s v="Yes"/>
    <n v="30"/>
    <s v="Yes"/>
    <n v="20"/>
    <n v="3"/>
    <n v="52"/>
  </r>
  <r>
    <n v="3359"/>
    <s v="Rafael Torres"/>
    <s v="Standard"/>
    <d v="2024-07-03T00:00:00"/>
    <x v="1"/>
    <n v="10"/>
    <x v="0"/>
    <s v="No"/>
    <s v="-"/>
    <s v="Yes"/>
    <n v="20"/>
    <n v="10"/>
    <n v="20"/>
  </r>
  <r>
    <n v="3360"/>
    <s v="Silvia Nascimento"/>
    <s v="Core"/>
    <d v="2024-07-04T00:00:00"/>
    <x v="0"/>
    <n v="5"/>
    <x v="2"/>
    <s v="No"/>
    <s v="-"/>
    <s v="No"/>
    <n v="0"/>
    <n v="0"/>
    <n v="5"/>
  </r>
  <r>
    <n v="3361"/>
    <s v="Tiago Mendes"/>
    <s v="Ultimate"/>
    <d v="2024-07-05T00:00:00"/>
    <x v="1"/>
    <n v="15"/>
    <x v="0"/>
    <s v="Yes"/>
    <n v="30"/>
    <s v="Yes"/>
    <n v="20"/>
    <n v="15"/>
    <n v="50"/>
  </r>
  <r>
    <n v="3362"/>
    <s v="Ursula Silva"/>
    <s v="Standard"/>
    <d v="2024-07-06T00:00:00"/>
    <x v="0"/>
    <n v="10"/>
    <x v="1"/>
    <s v="No"/>
    <s v="-"/>
    <s v="Yes"/>
    <n v="20"/>
    <n v="15"/>
    <n v="15"/>
  </r>
  <r>
    <n v="3363"/>
    <s v="Vanessa Moraes"/>
    <s v="Core"/>
    <d v="2024-07-07T00:00:00"/>
    <x v="1"/>
    <n v="5"/>
    <x v="0"/>
    <s v="No"/>
    <s v="-"/>
    <s v="No"/>
    <n v="0"/>
    <n v="1"/>
    <n v="4"/>
  </r>
  <r>
    <n v="3364"/>
    <s v="Waldir Junior"/>
    <s v="Ultimate"/>
    <d v="2024-07-08T00:00:00"/>
    <x v="0"/>
    <n v="15"/>
    <x v="2"/>
    <s v="Yes"/>
    <n v="30"/>
    <s v="Yes"/>
    <n v="20"/>
    <n v="7"/>
    <n v="58"/>
  </r>
  <r>
    <n v="3365"/>
    <s v="Xavier Lopes"/>
    <s v="Standard"/>
    <d v="2024-07-09T00:00:00"/>
    <x v="1"/>
    <n v="10"/>
    <x v="0"/>
    <s v="No"/>
    <s v="-"/>
    <s v="Yes"/>
    <n v="20"/>
    <n v="10"/>
    <n v="20"/>
  </r>
  <r>
    <n v="3366"/>
    <s v="Yolanda Freitas"/>
    <s v="Core"/>
    <d v="2024-07-10T00:00:00"/>
    <x v="0"/>
    <n v="5"/>
    <x v="0"/>
    <s v="No"/>
    <s v="-"/>
    <s v="No"/>
    <n v="0"/>
    <n v="0"/>
    <n v="5"/>
  </r>
  <r>
    <n v="3367"/>
    <s v="Zacarias Nunes"/>
    <s v="Ultimate"/>
    <d v="2024-07-11T00:00:00"/>
    <x v="1"/>
    <n v="15"/>
    <x v="2"/>
    <s v="No"/>
    <n v="0"/>
    <s v="Yes"/>
    <n v="20"/>
    <n v="7"/>
    <n v="28"/>
  </r>
  <r>
    <n v="3368"/>
    <s v="Ana Clara Barreto"/>
    <s v="Standard"/>
    <d v="2024-07-12T00:00:00"/>
    <x v="0"/>
    <n v="10"/>
    <x v="1"/>
    <s v="No"/>
    <s v="-"/>
    <s v="Yes"/>
    <n v="20"/>
    <n v="10"/>
    <n v="20"/>
  </r>
  <r>
    <n v="3369"/>
    <s v="Bruno Henrique"/>
    <s v="Core"/>
    <d v="2024-07-13T00:00:00"/>
    <x v="1"/>
    <n v="5"/>
    <x v="2"/>
    <s v="No"/>
    <s v="-"/>
    <s v="No"/>
    <n v="0"/>
    <n v="1"/>
    <n v="4"/>
  </r>
  <r>
    <n v="3370"/>
    <s v="Carlos Eduardo"/>
    <s v="Ultimate"/>
    <d v="2024-07-14T00:00:00"/>
    <x v="0"/>
    <n v="15"/>
    <x v="0"/>
    <s v="No"/>
    <n v="0"/>
    <s v="Yes"/>
    <n v="20"/>
    <n v="15"/>
    <n v="20"/>
  </r>
  <r>
    <n v="3371"/>
    <s v="Débora Lima"/>
    <s v="Standard"/>
    <d v="2024-07-15T00:00:00"/>
    <x v="1"/>
    <n v="10"/>
    <x v="0"/>
    <s v="No"/>
    <s v="-"/>
    <s v="Yes"/>
    <n v="20"/>
    <n v="5"/>
    <n v="25"/>
  </r>
  <r>
    <n v="3372"/>
    <s v="Elisa Neves"/>
    <s v="Core"/>
    <d v="2024-07-16T00:00:00"/>
    <x v="0"/>
    <n v="5"/>
    <x v="1"/>
    <s v="No"/>
    <s v="-"/>
    <s v="No"/>
    <n v="0"/>
    <n v="0"/>
    <n v="5"/>
  </r>
  <r>
    <n v="3373"/>
    <s v="Fabiano Gomes"/>
    <s v="Standard"/>
    <d v="2024-07-17T00:00:00"/>
    <x v="1"/>
    <n v="10"/>
    <x v="2"/>
    <s v="No"/>
    <n v="0"/>
    <s v="Yes"/>
    <n v="20"/>
    <n v="20"/>
    <n v="10"/>
  </r>
  <r>
    <n v="3374"/>
    <s v="Gisele Oliveira"/>
    <s v="Standard"/>
    <d v="2024-07-18T00:00:00"/>
    <x v="0"/>
    <n v="10"/>
    <x v="2"/>
    <s v="No"/>
    <s v="-"/>
    <s v="Yes"/>
    <n v="20"/>
    <n v="12"/>
    <n v="18"/>
  </r>
  <r>
    <n v="3375"/>
    <s v="Héctor Silva"/>
    <s v="Core"/>
    <d v="2024-07-19T00:00:00"/>
    <x v="1"/>
    <n v="5"/>
    <x v="0"/>
    <s v="No"/>
    <s v="-"/>
    <s v="No"/>
    <n v="0"/>
    <n v="2"/>
    <n v="3"/>
  </r>
  <r>
    <n v="3376"/>
    <s v="Igor Martins"/>
    <s v="Standard"/>
    <d v="2024-07-20T00:00:00"/>
    <x v="0"/>
    <n v="10"/>
    <x v="1"/>
    <s v="No"/>
    <n v="0"/>
    <s v="Yes"/>
    <n v="20"/>
    <n v="5"/>
    <n v="25"/>
  </r>
  <r>
    <n v="3377"/>
    <s v="Joana Figueiredo"/>
    <s v="Standard"/>
    <d v="2024-07-21T00:00:00"/>
    <x v="1"/>
    <n v="10"/>
    <x v="0"/>
    <s v="No"/>
    <s v="-"/>
    <s v="Yes"/>
    <n v="20"/>
    <n v="10"/>
    <n v="20"/>
  </r>
  <r>
    <n v="3378"/>
    <s v="Kleber Machado"/>
    <s v="Core"/>
    <d v="2024-07-22T00:00:00"/>
    <x v="0"/>
    <n v="5"/>
    <x v="2"/>
    <s v="No"/>
    <s v="-"/>
    <s v="No"/>
    <n v="0"/>
    <n v="0"/>
    <n v="5"/>
  </r>
  <r>
    <n v="3379"/>
    <s v="Luciana Santos"/>
    <s v="Standard"/>
    <d v="2024-07-23T00:00:00"/>
    <x v="1"/>
    <n v="10"/>
    <x v="0"/>
    <s v="Yes"/>
    <n v="30"/>
    <s v="Yes"/>
    <n v="20"/>
    <n v="3"/>
    <n v="57"/>
  </r>
  <r>
    <n v="3380"/>
    <s v="Marcos Teixeira"/>
    <s v="Standard"/>
    <d v="2024-07-24T00:00:00"/>
    <x v="0"/>
    <n v="10"/>
    <x v="1"/>
    <s v="No"/>
    <s v="-"/>
    <s v="Yes"/>
    <n v="20"/>
    <n v="15"/>
    <n v="15"/>
  </r>
  <r>
    <n v="3381"/>
    <s v="Natalia Costa"/>
    <s v="Core"/>
    <d v="2024-07-25T00:00:00"/>
    <x v="1"/>
    <n v="5"/>
    <x v="0"/>
    <s v="No"/>
    <s v="-"/>
    <s v="No"/>
    <n v="0"/>
    <n v="1"/>
    <n v="4"/>
  </r>
  <r>
    <n v="3382"/>
    <s v="Oscar Ribeiro"/>
    <s v="Standard"/>
    <d v="2024-07-26T00:00:00"/>
    <x v="0"/>
    <n v="10"/>
    <x v="2"/>
    <s v="Yes"/>
    <n v="30"/>
    <s v="Yes"/>
    <n v="20"/>
    <n v="7"/>
    <n v="53"/>
  </r>
  <r>
    <n v="3383"/>
    <s v="Patricia Almeida"/>
    <s v="Standard"/>
    <d v="2024-07-27T00:00:00"/>
    <x v="1"/>
    <n v="10"/>
    <x v="0"/>
    <s v="No"/>
    <s v="-"/>
    <s v="Yes"/>
    <n v="20"/>
    <n v="10"/>
    <n v="20"/>
  </r>
  <r>
    <n v="3384"/>
    <s v="Quirino Junior"/>
    <s v="Core"/>
    <d v="2024-07-28T00:00:00"/>
    <x v="0"/>
    <n v="5"/>
    <x v="1"/>
    <s v="No"/>
    <s v="-"/>
    <s v="No"/>
    <n v="0"/>
    <n v="0"/>
    <n v="5"/>
  </r>
  <r>
    <n v="3385"/>
    <s v="Renata Machado"/>
    <s v="Standard"/>
    <d v="2024-07-29T00:00:00"/>
    <x v="1"/>
    <n v="10"/>
    <x v="0"/>
    <s v="Yes"/>
    <n v="30"/>
    <s v="Yes"/>
    <n v="20"/>
    <n v="20"/>
    <n v="40"/>
  </r>
  <r>
    <n v="3386"/>
    <s v="Sônia Alves"/>
    <s v="Standard"/>
    <d v="2024-07-30T00:00:00"/>
    <x v="0"/>
    <n v="10"/>
    <x v="2"/>
    <s v="No"/>
    <s v="-"/>
    <s v="Yes"/>
    <n v="20"/>
    <n v="15"/>
    <n v="15"/>
  </r>
  <r>
    <n v="3387"/>
    <s v="Tiago Nunes"/>
    <s v="Core"/>
    <d v="2024-07-31T00:00:00"/>
    <x v="1"/>
    <n v="5"/>
    <x v="0"/>
    <s v="No"/>
    <s v="-"/>
    <s v="No"/>
    <n v="0"/>
    <n v="1"/>
    <n v="4"/>
  </r>
  <r>
    <n v="3388"/>
    <s v="Ulysses Pereira"/>
    <s v="Core"/>
    <d v="2024-08-01T00:00:00"/>
    <x v="0"/>
    <n v="5"/>
    <x v="1"/>
    <s v="Yes"/>
    <n v="30"/>
    <s v="Yes"/>
    <n v="20"/>
    <n v="3"/>
    <n v="52"/>
  </r>
  <r>
    <n v="3389"/>
    <s v="Vanessa Lima"/>
    <s v="Standard"/>
    <d v="2024-08-02T00:00:00"/>
    <x v="1"/>
    <n v="10"/>
    <x v="0"/>
    <s v="No"/>
    <s v="-"/>
    <s v="Yes"/>
    <n v="20"/>
    <n v="10"/>
    <n v="20"/>
  </r>
  <r>
    <n v="3390"/>
    <s v="Wagner Santos"/>
    <s v="Core"/>
    <d v="2024-08-03T00:00:00"/>
    <x v="0"/>
    <n v="5"/>
    <x v="2"/>
    <s v="No"/>
    <s v="-"/>
    <s v="No"/>
    <n v="0"/>
    <n v="0"/>
    <n v="5"/>
  </r>
  <r>
    <n v="3391"/>
    <s v="Xuxa Meneghel"/>
    <s v="Core"/>
    <d v="2024-08-04T00:00:00"/>
    <x v="1"/>
    <n v="5"/>
    <x v="0"/>
    <s v="Yes"/>
    <n v="30"/>
    <s v="Yes"/>
    <n v="20"/>
    <n v="15"/>
    <n v="40"/>
  </r>
  <r>
    <n v="3392"/>
    <s v="Yasmin Silva"/>
    <s v="Standard"/>
    <d v="2024-08-05T00:00:00"/>
    <x v="0"/>
    <n v="10"/>
    <x v="1"/>
    <s v="No"/>
    <s v="-"/>
    <s v="Yes"/>
    <n v="20"/>
    <n v="15"/>
    <n v="15"/>
  </r>
  <r>
    <n v="3393"/>
    <s v="Zacarias de Souza"/>
    <s v="Core"/>
    <d v="2024-08-06T00:00:00"/>
    <x v="1"/>
    <n v="5"/>
    <x v="0"/>
    <s v="No"/>
    <s v="-"/>
    <s v="No"/>
    <n v="0"/>
    <n v="1"/>
    <n v="4"/>
  </r>
  <r>
    <n v="3394"/>
    <s v="André Lima"/>
    <s v="Ultimate"/>
    <d v="2024-08-07T00:00:00"/>
    <x v="0"/>
    <n v="15"/>
    <x v="2"/>
    <s v="Yes"/>
    <n v="30"/>
    <s v="Yes"/>
    <n v="20"/>
    <n v="7"/>
    <n v="58"/>
  </r>
  <r>
    <n v="3395"/>
    <s v="Bianca Freitas"/>
    <s v="Standard"/>
    <d v="2024-08-08T00:00:00"/>
    <x v="1"/>
    <n v="10"/>
    <x v="0"/>
    <s v="No"/>
    <s v="-"/>
    <s v="Yes"/>
    <n v="20"/>
    <n v="10"/>
    <n v="20"/>
  </r>
  <r>
    <n v="3396"/>
    <s v="Caio Mendes"/>
    <s v="Core"/>
    <d v="2024-08-09T00:00:00"/>
    <x v="0"/>
    <n v="5"/>
    <x v="1"/>
    <s v="No"/>
    <s v="-"/>
    <s v="No"/>
    <n v="0"/>
    <n v="0"/>
    <n v="5"/>
  </r>
  <r>
    <n v="3397"/>
    <s v="Daniela Moura"/>
    <s v="Ultimate"/>
    <d v="2024-08-10T00:00:00"/>
    <x v="1"/>
    <n v="15"/>
    <x v="0"/>
    <s v="Yes"/>
    <n v="30"/>
    <s v="Yes"/>
    <n v="20"/>
    <n v="20"/>
    <n v="45"/>
  </r>
  <r>
    <n v="3398"/>
    <s v="Eduardo Costa"/>
    <s v="Standard"/>
    <d v="2024-08-11T00:00:00"/>
    <x v="0"/>
    <n v="10"/>
    <x v="2"/>
    <s v="No"/>
    <s v="-"/>
    <s v="Yes"/>
    <n v="20"/>
    <n v="15"/>
    <n v="15"/>
  </r>
  <r>
    <n v="3399"/>
    <s v="Fernanda Gomes"/>
    <s v="Core"/>
    <d v="2024-08-12T00:00:00"/>
    <x v="1"/>
    <n v="5"/>
    <x v="0"/>
    <s v="No"/>
    <s v="-"/>
    <s v="No"/>
    <n v="0"/>
    <n v="1"/>
    <n v="4"/>
  </r>
  <r>
    <n v="3400"/>
    <s v="Guilherme Souza"/>
    <s v="Ultimate"/>
    <d v="2024-08-13T00:00:00"/>
    <x v="0"/>
    <n v="15"/>
    <x v="1"/>
    <s v="Yes"/>
    <n v="30"/>
    <s v="Yes"/>
    <n v="20"/>
    <n v="5"/>
    <n v="60"/>
  </r>
  <r>
    <n v="3401"/>
    <s v="Helena Ribeiro"/>
    <s v="Standard"/>
    <d v="2024-08-14T00:00:00"/>
    <x v="1"/>
    <n v="10"/>
    <x v="0"/>
    <s v="No"/>
    <s v="-"/>
    <s v="Yes"/>
    <n v="20"/>
    <n v="10"/>
    <n v="20"/>
  </r>
  <r>
    <n v="3402"/>
    <s v="Igor Santos"/>
    <s v="Core"/>
    <d v="2024-08-15T00:00:00"/>
    <x v="0"/>
    <n v="5"/>
    <x v="2"/>
    <s v="No"/>
    <s v="-"/>
    <s v="No"/>
    <n v="0"/>
    <n v="0"/>
    <n v="5"/>
  </r>
  <r>
    <n v="3403"/>
    <s v="João Carvalho"/>
    <s v="Core"/>
    <d v="2024-08-16T00:00:00"/>
    <x v="1"/>
    <n v="5"/>
    <x v="0"/>
    <s v="Yes"/>
    <n v="30"/>
    <s v="Yes"/>
    <n v="20"/>
    <n v="3"/>
    <n v="52"/>
  </r>
  <r>
    <n v="3404"/>
    <s v="Klara Fagundes"/>
    <s v="Standard"/>
    <d v="2024-08-17T00:00:00"/>
    <x v="0"/>
    <n v="10"/>
    <x v="1"/>
    <s v="No"/>
    <s v="-"/>
    <s v="Yes"/>
    <n v="20"/>
    <n v="15"/>
    <n v="15"/>
  </r>
  <r>
    <n v="3405"/>
    <s v="Lúcia Mendonça"/>
    <s v="Core"/>
    <d v="2024-08-18T00:00:00"/>
    <x v="1"/>
    <n v="5"/>
    <x v="0"/>
    <s v="No"/>
    <s v="-"/>
    <s v="No"/>
    <n v="0"/>
    <n v="1"/>
    <n v="4"/>
  </r>
  <r>
    <n v="3406"/>
    <s v="Marcelo Novaes"/>
    <s v="Core"/>
    <d v="2024-08-19T00:00:00"/>
    <x v="0"/>
    <n v="5"/>
    <x v="0"/>
    <s v="No"/>
    <s v="-"/>
    <s v="No"/>
    <n v="0"/>
    <n v="0"/>
    <n v="5"/>
  </r>
  <r>
    <n v="3407"/>
    <s v="Nina Pacheco"/>
    <s v="Ultimate"/>
    <d v="2024-08-20T00:00:00"/>
    <x v="1"/>
    <n v="15"/>
    <x v="2"/>
    <s v="Yes"/>
    <n v="30"/>
    <s v="Yes"/>
    <n v="20"/>
    <n v="7"/>
    <n v="58"/>
  </r>
  <r>
    <n v="3408"/>
    <s v="Olívia Rios"/>
    <s v="Standard"/>
    <d v="2024-08-21T00:00:00"/>
    <x v="0"/>
    <n v="10"/>
    <x v="1"/>
    <s v="No"/>
    <s v="-"/>
    <s v="Yes"/>
    <n v="20"/>
    <n v="10"/>
    <n v="20"/>
  </r>
  <r>
    <n v="3409"/>
    <s v="Paulo Quintana"/>
    <s v="Core"/>
    <d v="2024-08-22T00:00:00"/>
    <x v="1"/>
    <n v="5"/>
    <x v="2"/>
    <s v="No"/>
    <s v="-"/>
    <s v="No"/>
    <n v="0"/>
    <n v="1"/>
    <n v="4"/>
  </r>
  <r>
    <n v="3410"/>
    <s v="Raquel Domingos"/>
    <s v="Ultimate"/>
    <d v="2024-08-23T00:00:00"/>
    <x v="0"/>
    <n v="15"/>
    <x v="0"/>
    <s v="No"/>
    <n v="0"/>
    <s v="Yes"/>
    <n v="20"/>
    <n v="15"/>
    <n v="20"/>
  </r>
  <r>
    <n v="3411"/>
    <s v="Samuel Viana"/>
    <s v="Standard"/>
    <d v="2024-08-24T00:00:00"/>
    <x v="1"/>
    <n v="10"/>
    <x v="0"/>
    <s v="No"/>
    <s v="-"/>
    <s v="Yes"/>
    <n v="20"/>
    <n v="5"/>
    <n v="25"/>
  </r>
  <r>
    <n v="3412"/>
    <s v="Tatiane Rocha"/>
    <s v="Core"/>
    <d v="2024-08-25T00:00:00"/>
    <x v="0"/>
    <n v="5"/>
    <x v="1"/>
    <s v="No"/>
    <s v="-"/>
    <s v="No"/>
    <n v="0"/>
    <n v="0"/>
    <n v="5"/>
  </r>
  <r>
    <n v="3413"/>
    <s v="Ulysses Farias"/>
    <s v="Ultimate"/>
    <d v="2024-08-26T00:00:00"/>
    <x v="1"/>
    <n v="15"/>
    <x v="2"/>
    <s v="No"/>
    <n v="0"/>
    <s v="Yes"/>
    <n v="20"/>
    <n v="20"/>
    <n v="15"/>
  </r>
  <r>
    <n v="3414"/>
    <s v="Vanessa Moreira"/>
    <s v="Standard"/>
    <d v="2024-08-27T00:00:00"/>
    <x v="0"/>
    <n v="10"/>
    <x v="2"/>
    <s v="No"/>
    <s v="-"/>
    <s v="Yes"/>
    <n v="20"/>
    <n v="12"/>
    <n v="18"/>
  </r>
  <r>
    <n v="3415"/>
    <s v="William Carvalho"/>
    <s v="Core"/>
    <d v="2024-08-28T00:00:00"/>
    <x v="1"/>
    <n v="5"/>
    <x v="0"/>
    <s v="No"/>
    <s v="-"/>
    <s v="No"/>
    <n v="0"/>
    <n v="2"/>
    <n v="3"/>
  </r>
  <r>
    <n v="3416"/>
    <s v="Ximena Barros"/>
    <s v="Standard"/>
    <d v="2024-08-29T00:00:00"/>
    <x v="0"/>
    <n v="10"/>
    <x v="1"/>
    <s v="No"/>
    <n v="0"/>
    <s v="Yes"/>
    <n v="20"/>
    <n v="5"/>
    <n v="25"/>
  </r>
  <r>
    <n v="3417"/>
    <s v="Yara Machado"/>
    <s v="Standard"/>
    <d v="2024-08-30T00:00:00"/>
    <x v="1"/>
    <n v="10"/>
    <x v="0"/>
    <s v="No"/>
    <s v="-"/>
    <s v="Yes"/>
    <n v="20"/>
    <n v="10"/>
    <n v="20"/>
  </r>
  <r>
    <n v="3418"/>
    <s v="Zacarias Costa"/>
    <s v="Core"/>
    <d v="2024-08-31T00:00:00"/>
    <x v="0"/>
    <n v="5"/>
    <x v="2"/>
    <s v="No"/>
    <s v="-"/>
    <s v="No"/>
    <n v="0"/>
    <n v="0"/>
    <n v="5"/>
  </r>
  <r>
    <n v="3419"/>
    <s v="André Lopes"/>
    <s v="Standard"/>
    <d v="2024-09-01T00:00:00"/>
    <x v="1"/>
    <n v="10"/>
    <x v="0"/>
    <s v="No"/>
    <n v="0"/>
    <s v="Yes"/>
    <n v="20"/>
    <n v="3"/>
    <n v="27"/>
  </r>
  <r>
    <n v="3420"/>
    <s v="Beatriz Souza"/>
    <s v="Standard"/>
    <d v="2024-09-02T00:00:00"/>
    <x v="0"/>
    <n v="10"/>
    <x v="1"/>
    <s v="No"/>
    <s v="-"/>
    <s v="Yes"/>
    <n v="20"/>
    <n v="15"/>
    <n v="15"/>
  </r>
  <r>
    <n v="3421"/>
    <s v="Caio Pereira"/>
    <s v="Core"/>
    <d v="2024-09-03T00:00:00"/>
    <x v="1"/>
    <n v="5"/>
    <x v="0"/>
    <s v="No"/>
    <s v="-"/>
    <s v="No"/>
    <n v="0"/>
    <n v="1"/>
    <n v="4"/>
  </r>
  <r>
    <n v="3422"/>
    <s v="Daniela Araújo"/>
    <s v="Standard"/>
    <d v="2024-09-04T00:00:00"/>
    <x v="0"/>
    <n v="10"/>
    <x v="2"/>
    <s v="No"/>
    <n v="0"/>
    <s v="Yes"/>
    <n v="20"/>
    <n v="7"/>
    <n v="23"/>
  </r>
  <r>
    <n v="3423"/>
    <s v="Eduardo Santos"/>
    <s v="Standard"/>
    <d v="2024-09-05T00:00:00"/>
    <x v="1"/>
    <n v="10"/>
    <x v="0"/>
    <s v="No"/>
    <s v="-"/>
    <s v="Yes"/>
    <n v="20"/>
    <n v="10"/>
    <n v="20"/>
  </r>
  <r>
    <n v="3424"/>
    <s v="Fernanda Lima"/>
    <s v="Core"/>
    <d v="2024-09-06T00:00:00"/>
    <x v="0"/>
    <n v="5"/>
    <x v="1"/>
    <s v="No"/>
    <s v="-"/>
    <s v="No"/>
    <n v="0"/>
    <n v="0"/>
    <n v="5"/>
  </r>
  <r>
    <n v="3425"/>
    <s v="Gabriel Teixeira"/>
    <s v="Core"/>
    <d v="2024-09-07T00:00:00"/>
    <x v="1"/>
    <n v="5"/>
    <x v="0"/>
    <s v="No"/>
    <n v="0"/>
    <s v="Yes"/>
    <n v="20"/>
    <n v="20"/>
    <n v="5"/>
  </r>
  <r>
    <n v="3426"/>
    <s v="Helena Ribeiro"/>
    <s v="Standard"/>
    <d v="2024-09-08T00:00:00"/>
    <x v="0"/>
    <n v="10"/>
    <x v="2"/>
    <s v="No"/>
    <s v="-"/>
    <s v="Yes"/>
    <n v="20"/>
    <n v="15"/>
    <n v="15"/>
  </r>
  <r>
    <n v="3427"/>
    <s v="Igor Mendes"/>
    <s v="Core"/>
    <d v="2024-09-09T00:00:00"/>
    <x v="1"/>
    <n v="5"/>
    <x v="0"/>
    <s v="No"/>
    <s v="-"/>
    <s v="No"/>
    <n v="0"/>
    <n v="1"/>
    <n v="4"/>
  </r>
  <r>
    <n v="3428"/>
    <s v="Joana Silveira"/>
    <s v="Ultimate"/>
    <d v="2024-09-10T00:00:00"/>
    <x v="0"/>
    <n v="15"/>
    <x v="1"/>
    <s v="No"/>
    <n v="0"/>
    <s v="Yes"/>
    <n v="20"/>
    <n v="3"/>
    <n v="32"/>
  </r>
  <r>
    <n v="3429"/>
    <s v="Lucas Martins"/>
    <s v="Standard"/>
    <d v="2024-09-11T00:00:00"/>
    <x v="1"/>
    <n v="10"/>
    <x v="0"/>
    <s v="No"/>
    <s v="-"/>
    <s v="Yes"/>
    <n v="20"/>
    <n v="10"/>
    <n v="20"/>
  </r>
  <r>
    <n v="3430"/>
    <s v="Marcela Gouveia"/>
    <s v="Core"/>
    <d v="2024-09-12T00:00:00"/>
    <x v="0"/>
    <n v="5"/>
    <x v="2"/>
    <s v="No"/>
    <s v="-"/>
    <s v="No"/>
    <n v="0"/>
    <n v="0"/>
    <n v="5"/>
  </r>
  <r>
    <n v="3431"/>
    <s v="Nicolas Borges"/>
    <s v="Ultimate"/>
    <d v="2024-09-13T00:00:00"/>
    <x v="1"/>
    <n v="15"/>
    <x v="0"/>
    <s v="No"/>
    <n v="0"/>
    <s v="Yes"/>
    <n v="20"/>
    <n v="15"/>
    <n v="20"/>
  </r>
  <r>
    <n v="3432"/>
    <s v="Olivia Freitas"/>
    <s v="Standard"/>
    <d v="2024-09-14T00:00:00"/>
    <x v="0"/>
    <n v="10"/>
    <x v="1"/>
    <s v="No"/>
    <s v="-"/>
    <s v="Yes"/>
    <n v="20"/>
    <n v="15"/>
    <n v="15"/>
  </r>
  <r>
    <n v="3433"/>
    <s v="Paulo Nogueira"/>
    <s v="Core"/>
    <d v="2024-09-15T00:00:00"/>
    <x v="1"/>
    <n v="5"/>
    <x v="0"/>
    <s v="No"/>
    <s v="-"/>
    <s v="No"/>
    <n v="0"/>
    <n v="1"/>
    <n v="4"/>
  </r>
  <r>
    <n v="3434"/>
    <s v="Raquel Andrade"/>
    <s v="Ultimate"/>
    <d v="2024-09-16T00:00:00"/>
    <x v="0"/>
    <n v="15"/>
    <x v="2"/>
    <s v="No"/>
    <n v="0"/>
    <s v="Yes"/>
    <n v="20"/>
    <n v="7"/>
    <n v="28"/>
  </r>
  <r>
    <n v="3435"/>
    <s v="Sônia Carvalho"/>
    <s v="Standard"/>
    <d v="2024-09-17T00:00:00"/>
    <x v="1"/>
    <n v="10"/>
    <x v="0"/>
    <s v="No"/>
    <s v="-"/>
    <s v="Yes"/>
    <n v="20"/>
    <n v="10"/>
    <n v="20"/>
  </r>
  <r>
    <n v="3436"/>
    <s v="Tiago Rodrigues"/>
    <s v="Core"/>
    <d v="2024-09-18T00:00:00"/>
    <x v="0"/>
    <n v="5"/>
    <x v="0"/>
    <s v="No"/>
    <s v="-"/>
    <s v="No"/>
    <n v="0"/>
    <n v="0"/>
    <n v="5"/>
  </r>
  <r>
    <n v="3437"/>
    <s v="Ursula Monteiro"/>
    <s v="Ultimate"/>
    <d v="2024-09-19T00:00:00"/>
    <x v="1"/>
    <n v="15"/>
    <x v="2"/>
    <s v="No"/>
    <n v="0"/>
    <s v="Yes"/>
    <n v="20"/>
    <n v="7"/>
    <n v="28"/>
  </r>
  <r>
    <n v="3438"/>
    <s v="Vanessa Pereira"/>
    <s v="Standard"/>
    <d v="2024-09-20T00:00:00"/>
    <x v="0"/>
    <n v="10"/>
    <x v="1"/>
    <s v="No"/>
    <s v="-"/>
    <s v="Yes"/>
    <n v="20"/>
    <n v="10"/>
    <n v="20"/>
  </r>
  <r>
    <n v="3439"/>
    <s v="Walter Silva"/>
    <s v="Core"/>
    <d v="2024-09-21T00:00:00"/>
    <x v="1"/>
    <n v="5"/>
    <x v="2"/>
    <s v="No"/>
    <s v="-"/>
    <s v="No"/>
    <n v="0"/>
    <n v="1"/>
    <n v="4"/>
  </r>
  <r>
    <n v="3440"/>
    <s v="Xavier Almeida"/>
    <s v="Ultimate"/>
    <d v="2024-09-22T00:00:00"/>
    <x v="0"/>
    <n v="15"/>
    <x v="0"/>
    <s v="Yes"/>
    <n v="30"/>
    <s v="Yes"/>
    <n v="20"/>
    <n v="15"/>
    <n v="50"/>
  </r>
  <r>
    <n v="3441"/>
    <s v="Yasmine Correia"/>
    <s v="Standard"/>
    <d v="2024-09-23T00:00:00"/>
    <x v="1"/>
    <n v="10"/>
    <x v="0"/>
    <s v="No"/>
    <s v="-"/>
    <s v="Yes"/>
    <n v="20"/>
    <n v="5"/>
    <n v="25"/>
  </r>
  <r>
    <n v="3442"/>
    <s v="Zacarias Almeida"/>
    <s v="Core"/>
    <d v="2024-09-24T00:00:00"/>
    <x v="0"/>
    <n v="5"/>
    <x v="1"/>
    <s v="No"/>
    <s v="-"/>
    <s v="No"/>
    <n v="0"/>
    <n v="0"/>
    <n v="5"/>
  </r>
  <r>
    <n v="3443"/>
    <s v="Amanda Costa"/>
    <s v="Core"/>
    <d v="2024-09-25T00:00:00"/>
    <x v="1"/>
    <n v="5"/>
    <x v="2"/>
    <s v="Yes"/>
    <n v="30"/>
    <s v="Yes"/>
    <n v="20"/>
    <n v="20"/>
    <n v="35"/>
  </r>
  <r>
    <n v="3444"/>
    <s v="Bruno Ferreira"/>
    <s v="Standard"/>
    <d v="2024-09-26T00:00:00"/>
    <x v="0"/>
    <n v="10"/>
    <x v="2"/>
    <s v="No"/>
    <s v="-"/>
    <s v="Yes"/>
    <n v="20"/>
    <n v="12"/>
    <n v="18"/>
  </r>
  <r>
    <n v="3445"/>
    <s v="Carla Dias"/>
    <s v="Core"/>
    <d v="2024-09-27T00:00:00"/>
    <x v="1"/>
    <n v="5"/>
    <x v="0"/>
    <s v="No"/>
    <s v="-"/>
    <s v="No"/>
    <n v="0"/>
    <n v="2"/>
    <n v="3"/>
  </r>
  <r>
    <n v="3446"/>
    <s v="Diogo Martins"/>
    <s v="Ultimate"/>
    <d v="2024-09-28T00:00:00"/>
    <x v="0"/>
    <n v="15"/>
    <x v="1"/>
    <s v="Yes"/>
    <n v="30"/>
    <s v="Yes"/>
    <n v="20"/>
    <n v="5"/>
    <n v="60"/>
  </r>
  <r>
    <n v="3447"/>
    <s v="Elisa Campos"/>
    <s v="Standard"/>
    <d v="2024-09-29T00:00:00"/>
    <x v="1"/>
    <n v="10"/>
    <x v="0"/>
    <s v="No"/>
    <s v="-"/>
    <s v="Yes"/>
    <n v="20"/>
    <n v="10"/>
    <n v="20"/>
  </r>
  <r>
    <n v="3448"/>
    <s v="Fabiana Lima"/>
    <s v="Core"/>
    <d v="2024-09-30T00:00:00"/>
    <x v="0"/>
    <n v="5"/>
    <x v="2"/>
    <s v="No"/>
    <s v="-"/>
    <s v="No"/>
    <n v="0"/>
    <n v="0"/>
    <n v="5"/>
  </r>
  <r>
    <n v="3449"/>
    <s v="Gabriel Santos"/>
    <s v="Ultimate"/>
    <d v="2024-10-01T00:00:00"/>
    <x v="1"/>
    <n v="15"/>
    <x v="0"/>
    <s v="Yes"/>
    <n v="30"/>
    <s v="Yes"/>
    <n v="20"/>
    <n v="3"/>
    <n v="62"/>
  </r>
  <r>
    <n v="3450"/>
    <s v="Helena Ferreira"/>
    <s v="Standard"/>
    <d v="2024-10-02T00:00:00"/>
    <x v="0"/>
    <n v="10"/>
    <x v="1"/>
    <s v="No"/>
    <s v="-"/>
    <s v="Yes"/>
    <n v="20"/>
    <n v="15"/>
    <n v="15"/>
  </r>
  <r>
    <n v="3451"/>
    <s v="Ígor Nunes"/>
    <s v="Core"/>
    <d v="2024-10-03T00:00:00"/>
    <x v="1"/>
    <n v="5"/>
    <x v="0"/>
    <s v="No"/>
    <s v="-"/>
    <s v="No"/>
    <n v="0"/>
    <n v="1"/>
    <n v="4"/>
  </r>
  <r>
    <n v="3452"/>
    <s v="Joana Silveira"/>
    <s v="Ultimate"/>
    <d v="2024-10-04T00:00:00"/>
    <x v="0"/>
    <n v="15"/>
    <x v="2"/>
    <s v="Yes"/>
    <n v="30"/>
    <s v="No"/>
    <n v="0"/>
    <n v="7"/>
    <n v="38"/>
  </r>
  <r>
    <n v="3453"/>
    <s v="Kléber Oliveira"/>
    <s v="Standard"/>
    <d v="2024-10-05T00:00:00"/>
    <x v="1"/>
    <n v="10"/>
    <x v="0"/>
    <s v="No"/>
    <s v="-"/>
    <s v="Yes"/>
    <n v="20"/>
    <n v="10"/>
    <n v="20"/>
  </r>
  <r>
    <n v="3454"/>
    <s v="Luciana Morais"/>
    <s v="Core"/>
    <d v="2024-10-06T00:00:00"/>
    <x v="0"/>
    <n v="5"/>
    <x v="1"/>
    <s v="No"/>
    <s v="-"/>
    <s v="No"/>
    <n v="0"/>
    <n v="0"/>
    <n v="5"/>
  </r>
  <r>
    <n v="3455"/>
    <s v="Marcos Vinícius"/>
    <s v="Ultimate"/>
    <d v="2024-10-07T00:00:00"/>
    <x v="1"/>
    <n v="15"/>
    <x v="0"/>
    <s v="Yes"/>
    <n v="30"/>
    <s v="No"/>
    <n v="0"/>
    <n v="20"/>
    <n v="25"/>
  </r>
  <r>
    <n v="3456"/>
    <s v="Natália Barros"/>
    <s v="Standard"/>
    <d v="2024-10-08T00:00:00"/>
    <x v="0"/>
    <n v="10"/>
    <x v="2"/>
    <s v="No"/>
    <s v="-"/>
    <s v="Yes"/>
    <n v="20"/>
    <n v="15"/>
    <n v="15"/>
  </r>
  <r>
    <n v="3457"/>
    <s v="Oscar Sampaio"/>
    <s v="Core"/>
    <d v="2024-10-09T00:00:00"/>
    <x v="1"/>
    <n v="5"/>
    <x v="0"/>
    <s v="No"/>
    <s v="-"/>
    <s v="No"/>
    <n v="0"/>
    <n v="1"/>
    <n v="4"/>
  </r>
  <r>
    <n v="3458"/>
    <s v="Patrícia Leite"/>
    <s v="Core"/>
    <d v="2024-10-10T00:00:00"/>
    <x v="0"/>
    <n v="5"/>
    <x v="1"/>
    <s v="Yes"/>
    <n v="30"/>
    <s v="No"/>
    <n v="0"/>
    <n v="3"/>
    <n v="32"/>
  </r>
  <r>
    <n v="3459"/>
    <s v="Quênia Rocha"/>
    <s v="Standard"/>
    <d v="2024-10-11T00:00:00"/>
    <x v="1"/>
    <n v="10"/>
    <x v="0"/>
    <s v="No"/>
    <s v="-"/>
    <s v="Yes"/>
    <n v="20"/>
    <n v="10"/>
    <n v="20"/>
  </r>
  <r>
    <n v="3460"/>
    <s v="Rafael Torres"/>
    <s v="Core"/>
    <d v="2024-10-12T00:00:00"/>
    <x v="0"/>
    <n v="5"/>
    <x v="2"/>
    <s v="No"/>
    <s v="-"/>
    <s v="No"/>
    <n v="0"/>
    <n v="0"/>
    <n v="5"/>
  </r>
  <r>
    <n v="3461"/>
    <s v="Sandra Gouveia"/>
    <s v="Ultimate"/>
    <d v="2024-10-13T00:00:00"/>
    <x v="1"/>
    <n v="15"/>
    <x v="0"/>
    <s v="Yes"/>
    <n v="30"/>
    <s v="No"/>
    <n v="0"/>
    <n v="15"/>
    <n v="30"/>
  </r>
  <r>
    <n v="3462"/>
    <s v="Tiago Lacerda"/>
    <s v="Standard"/>
    <d v="2024-10-14T00:00:00"/>
    <x v="0"/>
    <n v="10"/>
    <x v="1"/>
    <s v="No"/>
    <s v="-"/>
    <s v="Yes"/>
    <n v="20"/>
    <n v="15"/>
    <n v="15"/>
  </r>
  <r>
    <n v="3463"/>
    <s v="Ursula Fonseca"/>
    <s v="Core"/>
    <d v="2024-10-15T00:00:00"/>
    <x v="1"/>
    <n v="5"/>
    <x v="0"/>
    <s v="No"/>
    <s v="-"/>
    <s v="No"/>
    <n v="0"/>
    <n v="1"/>
    <n v="4"/>
  </r>
  <r>
    <n v="3464"/>
    <s v="Vanessa Andrade"/>
    <s v="Ultimate"/>
    <d v="2024-10-16T00:00:00"/>
    <x v="0"/>
    <n v="15"/>
    <x v="2"/>
    <s v="Yes"/>
    <n v="30"/>
    <s v="No"/>
    <n v="0"/>
    <n v="7"/>
    <n v="38"/>
  </r>
  <r>
    <n v="3465"/>
    <s v="William Castro"/>
    <s v="Standard"/>
    <d v="2024-10-17T00:00:00"/>
    <x v="1"/>
    <n v="10"/>
    <x v="0"/>
    <s v="No"/>
    <s v="-"/>
    <s v="Yes"/>
    <n v="20"/>
    <n v="10"/>
    <n v="20"/>
  </r>
  <r>
    <n v="3466"/>
    <s v="Xavier Monteiro"/>
    <s v="Core"/>
    <d v="2024-10-18T00:00:00"/>
    <x v="0"/>
    <n v="5"/>
    <x v="1"/>
    <s v="No"/>
    <s v="-"/>
    <s v="No"/>
    <n v="0"/>
    <n v="0"/>
    <n v="5"/>
  </r>
  <r>
    <n v="3467"/>
    <s v="Yasmin Figueira"/>
    <s v="Standard"/>
    <d v="2024-10-19T00:00:00"/>
    <x v="1"/>
    <n v="10"/>
    <x v="0"/>
    <s v="Yes"/>
    <n v="30"/>
    <s v="No"/>
    <n v="0"/>
    <n v="15"/>
    <n v="25"/>
  </r>
  <r>
    <n v="3468"/>
    <s v="Zacarias Mendonça"/>
    <s v="Standard"/>
    <d v="2024-10-20T00:00:00"/>
    <x v="0"/>
    <n v="10"/>
    <x v="2"/>
    <s v="No"/>
    <s v="-"/>
    <s v="Yes"/>
    <n v="20"/>
    <n v="12"/>
    <n v="18"/>
  </r>
  <r>
    <n v="3469"/>
    <s v="Amanda Menezes"/>
    <s v="Core"/>
    <d v="2024-10-21T00:00:00"/>
    <x v="1"/>
    <n v="5"/>
    <x v="0"/>
    <s v="No"/>
    <s v="-"/>
    <s v="No"/>
    <n v="0"/>
    <n v="2"/>
    <n v="3"/>
  </r>
  <r>
    <n v="3470"/>
    <s v="Bruno Santos"/>
    <s v="Standard"/>
    <d v="2024-10-22T00:00:00"/>
    <x v="0"/>
    <n v="10"/>
    <x v="1"/>
    <s v="Yes"/>
    <n v="30"/>
    <s v="No"/>
    <n v="0"/>
    <n v="5"/>
    <n v="35"/>
  </r>
  <r>
    <n v="3471"/>
    <s v="Carla Ferreira"/>
    <s v="Standard"/>
    <d v="2024-10-23T00:00:00"/>
    <x v="1"/>
    <n v="10"/>
    <x v="0"/>
    <s v="No"/>
    <s v="-"/>
    <s v="Yes"/>
    <n v="20"/>
    <n v="10"/>
    <n v="20"/>
  </r>
  <r>
    <n v="3472"/>
    <s v="Diogo Alves"/>
    <s v="Core"/>
    <d v="2024-10-24T00:00:00"/>
    <x v="0"/>
    <n v="5"/>
    <x v="2"/>
    <s v="No"/>
    <s v="-"/>
    <s v="No"/>
    <n v="0"/>
    <n v="0"/>
    <n v="5"/>
  </r>
  <r>
    <n v="3473"/>
    <s v="Elisa Neves"/>
    <s v="Standard"/>
    <d v="2024-10-25T00:00:00"/>
    <x v="1"/>
    <n v="10"/>
    <x v="0"/>
    <s v="Yes"/>
    <n v="30"/>
    <s v="No"/>
    <n v="0"/>
    <n v="3"/>
    <n v="37"/>
  </r>
  <r>
    <n v="3474"/>
    <s v="Fabiano Pires"/>
    <s v="Standard"/>
    <d v="2024-10-26T00:00:00"/>
    <x v="0"/>
    <n v="10"/>
    <x v="1"/>
    <s v="No"/>
    <s v="-"/>
    <s v="Yes"/>
    <n v="20"/>
    <n v="15"/>
    <n v="15"/>
  </r>
  <r>
    <n v="3475"/>
    <s v="Giovana Ribeiro"/>
    <s v="Core"/>
    <d v="2024-10-27T00:00:00"/>
    <x v="1"/>
    <n v="5"/>
    <x v="0"/>
    <s v="No"/>
    <s v="-"/>
    <s v="No"/>
    <n v="0"/>
    <n v="1"/>
    <n v="4"/>
  </r>
  <r>
    <n v="3476"/>
    <s v="Hélio Costa"/>
    <s v="Standard"/>
    <d v="2024-10-28T00:00:00"/>
    <x v="0"/>
    <n v="10"/>
    <x v="2"/>
    <s v="Yes"/>
    <n v="30"/>
    <s v="Yes"/>
    <n v="20"/>
    <n v="7"/>
    <n v="53"/>
  </r>
  <r>
    <n v="3477"/>
    <s v="Íris Loureiro"/>
    <s v="Standard"/>
    <d v="2024-10-29T00:00:00"/>
    <x v="1"/>
    <n v="10"/>
    <x v="0"/>
    <s v="No"/>
    <s v="-"/>
    <s v="Yes"/>
    <n v="20"/>
    <n v="10"/>
    <n v="20"/>
  </r>
  <r>
    <n v="3478"/>
    <s v="João Pereira"/>
    <s v="Core"/>
    <d v="2024-10-30T00:00:00"/>
    <x v="0"/>
    <n v="5"/>
    <x v="1"/>
    <s v="No"/>
    <s v="-"/>
    <s v="No"/>
    <n v="0"/>
    <n v="0"/>
    <n v="5"/>
  </r>
  <r>
    <n v="3479"/>
    <s v="Klara Silva"/>
    <s v="Ultimate"/>
    <d v="2024-10-31T00:00:00"/>
    <x v="1"/>
    <n v="15"/>
    <x v="0"/>
    <s v="No"/>
    <n v="0"/>
    <s v="Yes"/>
    <n v="20"/>
    <n v="20"/>
    <n v="15"/>
  </r>
  <r>
    <n v="3480"/>
    <s v="Luciana Barros"/>
    <s v="Standard"/>
    <d v="2024-11-01T00:00:00"/>
    <x v="0"/>
    <n v="10"/>
    <x v="2"/>
    <s v="No"/>
    <s v="-"/>
    <s v="Yes"/>
    <n v="20"/>
    <n v="15"/>
    <n v="15"/>
  </r>
  <r>
    <n v="3481"/>
    <s v="Marcos Gomes"/>
    <s v="Core"/>
    <d v="2024-11-02T00:00:00"/>
    <x v="1"/>
    <n v="5"/>
    <x v="0"/>
    <s v="No"/>
    <s v="-"/>
    <s v="No"/>
    <n v="0"/>
    <n v="1"/>
    <n v="4"/>
  </r>
  <r>
    <n v="3482"/>
    <s v="Natália Soares"/>
    <s v="Ultimate"/>
    <d v="2024-11-03T00:00:00"/>
    <x v="0"/>
    <n v="15"/>
    <x v="1"/>
    <s v="No"/>
    <n v="0"/>
    <s v="Yes"/>
    <n v="20"/>
    <n v="3"/>
    <n v="32"/>
  </r>
  <r>
    <n v="3483"/>
    <s v="Oscar Machado"/>
    <s v="Standard"/>
    <d v="2024-11-04T00:00:00"/>
    <x v="1"/>
    <n v="10"/>
    <x v="0"/>
    <s v="No"/>
    <s v="-"/>
    <s v="Yes"/>
    <n v="20"/>
    <n v="10"/>
    <n v="20"/>
  </r>
  <r>
    <n v="3484"/>
    <s v="Patrícia Lima"/>
    <s v="Core"/>
    <d v="2024-11-05T00:00:00"/>
    <x v="0"/>
    <n v="5"/>
    <x v="2"/>
    <s v="No"/>
    <s v="-"/>
    <s v="No"/>
    <n v="0"/>
    <n v="0"/>
    <n v="5"/>
  </r>
  <r>
    <n v="3485"/>
    <s v="Quirino Neto"/>
    <s v="Core"/>
    <d v="2024-11-06T00:00:00"/>
    <x v="1"/>
    <n v="5"/>
    <x v="0"/>
    <s v="No"/>
    <n v="0"/>
    <s v="Yes"/>
    <n v="20"/>
    <n v="15"/>
    <n v="10"/>
  </r>
  <r>
    <n v="3486"/>
    <s v="Rafaela Souza"/>
    <s v="Core"/>
    <d v="2024-11-07T00:00:00"/>
    <x v="0"/>
    <n v="5"/>
    <x v="0"/>
    <s v="No"/>
    <s v="-"/>
    <s v="No"/>
    <n v="0"/>
    <n v="0"/>
    <n v="5"/>
  </r>
  <r>
    <n v="3487"/>
    <s v="Sandro Almeida"/>
    <s v="Core"/>
    <d v="2024-11-08T00:00:00"/>
    <x v="1"/>
    <n v="5"/>
    <x v="2"/>
    <s v="No"/>
    <n v="0"/>
    <s v="Yes"/>
    <n v="20"/>
    <n v="7"/>
    <n v="18"/>
  </r>
  <r>
    <n v="3488"/>
    <s v="Tânia Ribeiro"/>
    <s v="Standard"/>
    <d v="2024-11-09T00:00:00"/>
    <x v="0"/>
    <n v="10"/>
    <x v="1"/>
    <s v="No"/>
    <s v="-"/>
    <s v="Yes"/>
    <n v="20"/>
    <n v="10"/>
    <n v="20"/>
  </r>
  <r>
    <n v="3489"/>
    <s v="Ugo Dias"/>
    <s v="Core"/>
    <d v="2024-11-10T00:00:00"/>
    <x v="1"/>
    <n v="5"/>
    <x v="2"/>
    <s v="No"/>
    <s v="-"/>
    <s v="No"/>
    <n v="0"/>
    <n v="1"/>
    <n v="4"/>
  </r>
  <r>
    <n v="3490"/>
    <s v="Valéria Lima"/>
    <s v="Ultimate"/>
    <d v="2024-11-11T00:00:00"/>
    <x v="0"/>
    <n v="15"/>
    <x v="0"/>
    <s v="No"/>
    <n v="0"/>
    <s v="Yes"/>
    <n v="20"/>
    <n v="15"/>
    <n v="20"/>
  </r>
  <r>
    <n v="3491"/>
    <s v="William Fernandes"/>
    <s v="Standard"/>
    <d v="2024-11-12T00:00:00"/>
    <x v="1"/>
    <n v="10"/>
    <x v="0"/>
    <s v="No"/>
    <s v="-"/>
    <s v="Yes"/>
    <n v="20"/>
    <n v="5"/>
    <n v="25"/>
  </r>
  <r>
    <n v="3492"/>
    <s v="Xuxa Mendes"/>
    <s v="Core"/>
    <d v="2024-11-13T00:00:00"/>
    <x v="0"/>
    <n v="5"/>
    <x v="1"/>
    <s v="No"/>
    <s v="-"/>
    <s v="No"/>
    <n v="0"/>
    <n v="0"/>
    <n v="5"/>
  </r>
  <r>
    <n v="3493"/>
    <s v="Ygor Farias"/>
    <s v="Ultimate"/>
    <d v="2024-11-14T00:00:00"/>
    <x v="1"/>
    <n v="15"/>
    <x v="2"/>
    <s v="No"/>
    <n v="0"/>
    <s v="Yes"/>
    <n v="20"/>
    <n v="20"/>
    <n v="15"/>
  </r>
  <r>
    <n v="3494"/>
    <s v="Zilda Barros"/>
    <s v="Standard"/>
    <d v="2024-11-15T00:00:00"/>
    <x v="0"/>
    <n v="10"/>
    <x v="2"/>
    <s v="No"/>
    <s v="-"/>
    <s v="Yes"/>
    <n v="20"/>
    <n v="12"/>
    <n v="18"/>
  </r>
  <r>
    <n v="3495"/>
    <s v="Amanda Santos"/>
    <s v="Core"/>
    <d v="2024-11-16T00:00:00"/>
    <x v="1"/>
    <n v="5"/>
    <x v="0"/>
    <s v="No"/>
    <s v="-"/>
    <s v="No"/>
    <n v="0"/>
    <n v="2"/>
    <n v="3"/>
  </r>
  <r>
    <n v="3496"/>
    <s v="Bruno Costa"/>
    <s v="Ultimate"/>
    <d v="2024-11-17T00:00:00"/>
    <x v="0"/>
    <n v="15"/>
    <x v="1"/>
    <s v="No"/>
    <n v="0"/>
    <s v="Yes"/>
    <n v="20"/>
    <n v="5"/>
    <n v="30"/>
  </r>
  <r>
    <n v="3497"/>
    <s v="Carla Rodrigues"/>
    <s v="Standard"/>
    <d v="2024-11-18T00:00:00"/>
    <x v="1"/>
    <n v="10"/>
    <x v="0"/>
    <s v="No"/>
    <s v="-"/>
    <s v="Yes"/>
    <n v="20"/>
    <n v="10"/>
    <n v="20"/>
  </r>
  <r>
    <n v="3498"/>
    <s v="Diogo Pereira"/>
    <s v="Core"/>
    <d v="2024-11-19T00:00:00"/>
    <x v="0"/>
    <n v="5"/>
    <x v="2"/>
    <s v="No"/>
    <s v="-"/>
    <s v="No"/>
    <n v="0"/>
    <n v="0"/>
    <n v="5"/>
  </r>
  <r>
    <n v="3499"/>
    <s v="Elisa Correia"/>
    <s v="Core"/>
    <d v="2024-11-20T00:00:00"/>
    <x v="1"/>
    <n v="5"/>
    <x v="0"/>
    <s v="No"/>
    <n v="0"/>
    <s v="Yes"/>
    <n v="20"/>
    <n v="3"/>
    <n v="22"/>
  </r>
  <r>
    <n v="3500"/>
    <s v="Fábio Lourenço"/>
    <s v="Standard"/>
    <d v="2024-11-21T00:00:00"/>
    <x v="0"/>
    <n v="10"/>
    <x v="1"/>
    <s v="No"/>
    <s v="-"/>
    <s v="Yes"/>
    <n v="20"/>
    <n v="15"/>
    <n v="15"/>
  </r>
  <r>
    <n v="3501"/>
    <s v="Gabriela Neves"/>
    <s v="Core"/>
    <d v="2024-11-22T00:00:00"/>
    <x v="1"/>
    <n v="5"/>
    <x v="0"/>
    <s v="No"/>
    <s v="-"/>
    <s v="No"/>
    <n v="0"/>
    <n v="1"/>
    <n v="4"/>
  </r>
  <r>
    <n v="3502"/>
    <s v="Henrique Gonçalves"/>
    <s v="Ultimate"/>
    <d v="2024-11-23T00:00:00"/>
    <x v="0"/>
    <n v="15"/>
    <x v="2"/>
    <s v="No"/>
    <n v="0"/>
    <s v="Yes"/>
    <n v="20"/>
    <n v="7"/>
    <n v="28"/>
  </r>
  <r>
    <n v="3503"/>
    <s v="Íris Santos"/>
    <s v="Standard"/>
    <d v="2024-11-24T00:00:00"/>
    <x v="1"/>
    <n v="10"/>
    <x v="0"/>
    <s v="No"/>
    <s v="-"/>
    <s v="Yes"/>
    <n v="20"/>
    <n v="10"/>
    <n v="20"/>
  </r>
  <r>
    <n v="3504"/>
    <s v="João Marcelo Alves"/>
    <s v="Core"/>
    <d v="2024-11-25T00:00:00"/>
    <x v="0"/>
    <n v="5"/>
    <x v="1"/>
    <s v="No"/>
    <s v="-"/>
    <s v="No"/>
    <n v="0"/>
    <n v="0"/>
    <n v="5"/>
  </r>
  <r>
    <n v="3505"/>
    <s v="Klara Fonseca"/>
    <s v="Ultimate"/>
    <d v="2024-11-26T00:00:00"/>
    <x v="1"/>
    <n v="15"/>
    <x v="0"/>
    <s v="No"/>
    <n v="0"/>
    <s v="Yes"/>
    <n v="20"/>
    <n v="20"/>
    <n v="15"/>
  </r>
  <r>
    <n v="3506"/>
    <s v="Lucas Mendonça"/>
    <s v="Standard"/>
    <d v="2024-11-27T00:00:00"/>
    <x v="0"/>
    <n v="10"/>
    <x v="2"/>
    <s v="No"/>
    <s v="-"/>
    <s v="Yes"/>
    <n v="20"/>
    <n v="15"/>
    <n v="15"/>
  </r>
  <r>
    <n v="3507"/>
    <s v="Marcela Torres"/>
    <s v="Core"/>
    <d v="2024-11-28T00:00:00"/>
    <x v="1"/>
    <n v="5"/>
    <x v="0"/>
    <s v="No"/>
    <s v="-"/>
    <s v="No"/>
    <n v="0"/>
    <n v="1"/>
    <n v="4"/>
  </r>
  <r>
    <n v="3508"/>
    <s v="Natália Castro"/>
    <s v="Ultimate"/>
    <d v="2024-11-29T00:00:00"/>
    <x v="0"/>
    <n v="15"/>
    <x v="1"/>
    <s v="Yes"/>
    <n v="30"/>
    <s v="Yes"/>
    <n v="20"/>
    <n v="3"/>
    <n v="62"/>
  </r>
  <r>
    <n v="3509"/>
    <s v="Oscar Martins"/>
    <s v="Standard"/>
    <d v="2024-11-30T00:00:00"/>
    <x v="1"/>
    <n v="10"/>
    <x v="0"/>
    <s v="No"/>
    <s v="-"/>
    <s v="Yes"/>
    <n v="20"/>
    <n v="10"/>
    <n v="20"/>
  </r>
  <r>
    <n v="3510"/>
    <s v="Patrícia Oliveira"/>
    <s v="Core"/>
    <d v="2024-12-01T00:00:00"/>
    <x v="0"/>
    <n v="5"/>
    <x v="2"/>
    <s v="No"/>
    <s v="-"/>
    <s v="No"/>
    <n v="0"/>
    <n v="0"/>
    <n v="5"/>
  </r>
  <r>
    <n v="3511"/>
    <s v="Quentin Nogueira"/>
    <s v="Core"/>
    <d v="2024-12-02T00:00:00"/>
    <x v="1"/>
    <n v="5"/>
    <x v="0"/>
    <s v="Yes"/>
    <n v="30"/>
    <s v="No"/>
    <n v="0"/>
    <n v="15"/>
    <n v="20"/>
  </r>
  <r>
    <n v="3512"/>
    <s v="Raquel Silva"/>
    <s v="Standard"/>
    <d v="2024-12-03T00:00:00"/>
    <x v="0"/>
    <n v="10"/>
    <x v="1"/>
    <s v="No"/>
    <s v="-"/>
    <s v="Yes"/>
    <n v="20"/>
    <n v="15"/>
    <n v="15"/>
  </r>
  <r>
    <n v="3513"/>
    <s v="Sandro Gomes"/>
    <s v="Core"/>
    <d v="2024-12-04T00:00:00"/>
    <x v="1"/>
    <n v="5"/>
    <x v="0"/>
    <s v="No"/>
    <s v="-"/>
    <s v="No"/>
    <n v="0"/>
    <n v="1"/>
    <n v="4"/>
  </r>
  <r>
    <n v="3514"/>
    <s v="Tânia Machado"/>
    <s v="Ultimate"/>
    <d v="2024-12-05T00:00:00"/>
    <x v="0"/>
    <n v="15"/>
    <x v="2"/>
    <s v="Yes"/>
    <n v="30"/>
    <s v="No"/>
    <n v="0"/>
    <n v="7"/>
    <n v="38"/>
  </r>
  <r>
    <n v="3515"/>
    <s v="Ursula Silva"/>
    <s v="Standard"/>
    <d v="2024-12-06T00:00:00"/>
    <x v="1"/>
    <n v="10"/>
    <x v="0"/>
    <s v="No"/>
    <s v="-"/>
    <s v="Yes"/>
    <n v="20"/>
    <n v="10"/>
    <n v="20"/>
  </r>
  <r>
    <n v="3516"/>
    <s v="Vanessa Moraes"/>
    <s v="Core"/>
    <d v="2024-12-07T00:00:00"/>
    <x v="0"/>
    <n v="5"/>
    <x v="1"/>
    <s v="No"/>
    <s v="-"/>
    <s v="No"/>
    <n v="0"/>
    <n v="0"/>
    <n v="5"/>
  </r>
  <r>
    <n v="3517"/>
    <s v="William Carvalho"/>
    <s v="Core"/>
    <d v="2024-12-08T00:00:00"/>
    <x v="1"/>
    <n v="5"/>
    <x v="0"/>
    <s v="Yes"/>
    <n v="30"/>
    <s v="No"/>
    <n v="0"/>
    <n v="20"/>
    <n v="15"/>
  </r>
  <r>
    <n v="3518"/>
    <s v="Xavier Reis"/>
    <s v="Standard"/>
    <d v="2024-12-09T00:00:00"/>
    <x v="0"/>
    <n v="10"/>
    <x v="2"/>
    <s v="No"/>
    <s v="-"/>
    <s v="Yes"/>
    <n v="20"/>
    <n v="12"/>
    <n v="18"/>
  </r>
  <r>
    <n v="3519"/>
    <s v="Yasmin Rocha"/>
    <s v="Core"/>
    <d v="2024-12-10T00:00:00"/>
    <x v="1"/>
    <n v="5"/>
    <x v="0"/>
    <s v="No"/>
    <s v="-"/>
    <s v="No"/>
    <n v="0"/>
    <n v="2"/>
    <n v="3"/>
  </r>
  <r>
    <n v="3520"/>
    <s v="Zacarias Duarte"/>
    <s v="Ultimate"/>
    <d v="2024-12-11T00:00:00"/>
    <x v="0"/>
    <n v="15"/>
    <x v="1"/>
    <s v="Yes"/>
    <n v="30"/>
    <s v="No"/>
    <n v="0"/>
    <n v="5"/>
    <n v="40"/>
  </r>
  <r>
    <n v="3521"/>
    <s v="Amanda Freitas"/>
    <s v="Standard"/>
    <d v="2024-12-12T00:00:00"/>
    <x v="1"/>
    <n v="10"/>
    <x v="0"/>
    <s v="No"/>
    <s v="-"/>
    <s v="Yes"/>
    <n v="20"/>
    <n v="10"/>
    <n v="20"/>
  </r>
  <r>
    <n v="3522"/>
    <s v="Bruno Almeida"/>
    <s v="Core"/>
    <d v="2024-12-13T00:00:00"/>
    <x v="0"/>
    <n v="5"/>
    <x v="2"/>
    <s v="No"/>
    <s v="-"/>
    <s v="No"/>
    <n v="0"/>
    <n v="0"/>
    <n v="5"/>
  </r>
  <r>
    <n v="3523"/>
    <s v="Carla Siqueira"/>
    <s v="Core"/>
    <d v="2024-12-14T00:00:00"/>
    <x v="1"/>
    <n v="5"/>
    <x v="0"/>
    <s v="Yes"/>
    <n v="30"/>
    <s v="No"/>
    <n v="0"/>
    <n v="3"/>
    <n v="32"/>
  </r>
  <r>
    <n v="3524"/>
    <s v="Diogo Ramos"/>
    <s v="Standard"/>
    <d v="2024-12-15T00:00:00"/>
    <x v="0"/>
    <n v="10"/>
    <x v="1"/>
    <s v="No"/>
    <s v="-"/>
    <s v="Yes"/>
    <n v="20"/>
    <n v="15"/>
    <n v="15"/>
  </r>
  <r>
    <n v="3525"/>
    <s v="Elisa Magalhães"/>
    <s v="Core"/>
    <d v="2024-12-16T00:00:00"/>
    <x v="1"/>
    <n v="5"/>
    <x v="0"/>
    <s v="No"/>
    <s v="-"/>
    <s v="No"/>
    <n v="0"/>
    <n v="1"/>
    <n v="4"/>
  </r>
  <r>
    <m/>
    <m/>
    <m/>
    <m/>
    <x v="2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E7AB6-A6F4-44C9-BEC2-8829A7E49A7D}" name="Tabela dinâmica3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D14:E17" firstHeaderRow="1" firstDataRow="1" firstDataCol="1" rowPageCount="1" colPageCount="1"/>
  <pivotFields count="13"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1"/>
        <item h="1"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3">
    <i>
      <x/>
    </i>
    <i>
      <x v="2"/>
    </i>
    <i t="grand">
      <x/>
    </i>
  </rowItems>
  <colItems count="1">
    <i/>
  </colItems>
  <pageFields count="1">
    <pageField fld="4" item="1" hier="-1"/>
  </pageFields>
  <dataFields count="1">
    <dataField name="Soma de Total Value" fld="1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E59D8-C360-4478-A3F1-3676D00B9593}" name="Tabela dinâmica1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Name">
  <location ref="B14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2E1EAD4-2ED3-4985-A46F-99F337AC00BC}" sourceName="Subscription Type">
  <pivotTables>
    <pivotTable tabId="3" name="Tabela dinâmica3"/>
  </pivotTables>
  <data>
    <tabular pivotCacheId="1016025617">
      <items count="4">
        <i x="1" s="1"/>
        <i x="0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E52AC71-582C-4224-ACFB-D5661273BB50}" cache="SegmentaçãodeDados_Subscription_Type" caption="Subscription Type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Shown="0" dataDxfId="13">
  <autoFilter ref="A1:M297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topLeftCell="F1" zoomScale="90" zoomScaleNormal="90" workbookViewId="0">
      <selection activeCell="O282" sqref="O28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style="17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15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f>IF(C2="Ultimate",15,IF(C2="Standard",10,IF(C2="Core",5,"")))</f>
        <v>15</v>
      </c>
      <c r="G2" s="8" t="s">
        <v>20</v>
      </c>
      <c r="H2" s="8" t="s">
        <v>23</v>
      </c>
      <c r="I2" s="11">
        <f>IF(Tabela1[[#This Row],[EA Play Season Pass]]="Yes",30,0)</f>
        <v>0</v>
      </c>
      <c r="J2" s="8" t="s">
        <v>23</v>
      </c>
      <c r="K2" s="11">
        <f>IF(Tabela1[[#This Row],[Minecraft Season Pass]]="Yes",20,0)</f>
        <v>0</v>
      </c>
      <c r="L2" s="11">
        <v>5</v>
      </c>
      <c r="M2" s="16">
        <f>SUM(F2,I2,K2-Tabela1[[#This Row],[Coupon Value]])</f>
        <v>10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26</v>
      </c>
      <c r="D5" s="10">
        <v>45342</v>
      </c>
      <c r="E5" s="8" t="s">
        <v>23</v>
      </c>
      <c r="F5" s="11">
        <f>IF(C5="Ultimate",15,IF(C5="Standard",10,IF(C5="Core",5,"")))</f>
        <v>10</v>
      </c>
      <c r="G5" s="8" t="s">
        <v>20</v>
      </c>
      <c r="H5" s="8" t="s">
        <v>23</v>
      </c>
      <c r="I5" s="11">
        <f>IF(Tabela1[[#This Row],[EA Play Season Pass]]="Yes",30,0)</f>
        <v>0</v>
      </c>
      <c r="J5" s="8" t="s">
        <v>19</v>
      </c>
      <c r="K5" s="11">
        <f>IF(Tabela1[[#This Row],[Minecraft Season Pass]]="Yes",20,0)</f>
        <v>20</v>
      </c>
      <c r="L5" s="11">
        <v>3</v>
      </c>
      <c r="M5" s="16">
        <f>SUM(F5,I5,K5-Tabela1[[#This Row],[Coupon Value]])</f>
        <v>27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f>IF(C8="Ultimate",15,IF(C8="Standard",10,IF(C8="Core",5,"")))</f>
        <v>15</v>
      </c>
      <c r="G8" s="8" t="s">
        <v>27</v>
      </c>
      <c r="H8" s="8" t="s">
        <v>19</v>
      </c>
      <c r="I8" s="11">
        <f>IF(Tabela1[[#This Row],[EA Play Season Pass]]="Yes",30,0)</f>
        <v>30</v>
      </c>
      <c r="J8" s="8" t="s">
        <v>19</v>
      </c>
      <c r="K8" s="11">
        <f>IF(Tabela1[[#This Row],[Minecraft Season Pass]]="Yes",20,0)</f>
        <v>20</v>
      </c>
      <c r="L8" s="11">
        <v>10</v>
      </c>
      <c r="M8" s="16">
        <f>SUM(F8,I8,K8-Tabela1[[#This Row],[Coupon Value]])</f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f>IF(C10="Ultimate",15,IF(C10="Standard",10,IF(C10="Core",5,"")))</f>
        <v>15</v>
      </c>
      <c r="G10" s="8" t="s">
        <v>20</v>
      </c>
      <c r="H10" s="8" t="s">
        <v>19</v>
      </c>
      <c r="I10" s="11">
        <f>IF(Tabela1[[#This Row],[EA Play Season Pass]]="Yes",30,0)</f>
        <v>30</v>
      </c>
      <c r="J10" s="8" t="s">
        <v>19</v>
      </c>
      <c r="K10" s="11">
        <f>IF(Tabela1[[#This Row],[Minecraft Season Pass]]="Yes",20,0)</f>
        <v>20</v>
      </c>
      <c r="L10" s="11">
        <v>5</v>
      </c>
      <c r="M10" s="16">
        <f>SUM(F10,I10,K10-Tabela1[[#This Row],[Coupon Value]])</f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f>IF(C13="Ultimate",15,IF(C13="Standard",10,IF(C13="Core",5,"")))</f>
        <v>15</v>
      </c>
      <c r="G13" s="8" t="s">
        <v>24</v>
      </c>
      <c r="H13" s="8" t="s">
        <v>23</v>
      </c>
      <c r="I13" s="11">
        <f>IF(Tabela1[[#This Row],[EA Play Season Pass]]="Yes",30,0)</f>
        <v>0</v>
      </c>
      <c r="J13" s="8" t="s">
        <v>19</v>
      </c>
      <c r="K13" s="11">
        <f>IF(Tabela1[[#This Row],[Minecraft Season Pass]]="Yes",20,0)</f>
        <v>20</v>
      </c>
      <c r="L13" s="11">
        <v>20</v>
      </c>
      <c r="M13" s="16">
        <f>SUM(F13,I13,K13-Tabela1[[#This Row],[Coupon Value]])</f>
        <v>15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22</v>
      </c>
      <c r="D16" s="10">
        <v>45362</v>
      </c>
      <c r="E16" s="8" t="s">
        <v>23</v>
      </c>
      <c r="F16" s="11">
        <f>IF(C16="Ultimate",15,IF(C16="Standard",10,IF(C16="Core",5,"")))</f>
        <v>5</v>
      </c>
      <c r="G16" s="8" t="s">
        <v>20</v>
      </c>
      <c r="H16" s="8" t="s">
        <v>23</v>
      </c>
      <c r="I16" s="11">
        <f>IF(Tabela1[[#This Row],[EA Play Season Pass]]="Yes",30,0)</f>
        <v>0</v>
      </c>
      <c r="J16" s="8" t="s">
        <v>19</v>
      </c>
      <c r="K16" s="11">
        <f>IF(Tabela1[[#This Row],[Minecraft Season Pass]]="Yes",20,0)</f>
        <v>20</v>
      </c>
      <c r="L16" s="11">
        <v>8</v>
      </c>
      <c r="M16" s="16">
        <f>SUM(F16,I16,K16-Tabela1[[#This Row],[Coupon Value]])</f>
        <v>17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f>IF(C19="Ultimate",15,IF(C19="Standard",10,IF(C19="Core",5,"")))</f>
        <v>15</v>
      </c>
      <c r="G19" s="8" t="s">
        <v>27</v>
      </c>
      <c r="H19" s="8" t="s">
        <v>23</v>
      </c>
      <c r="I19" s="11">
        <f>IF(Tabela1[[#This Row],[EA Play Season Pass]]="Yes",30,0)</f>
        <v>0</v>
      </c>
      <c r="J19" s="8" t="s">
        <v>19</v>
      </c>
      <c r="K19" s="11">
        <f>IF(Tabela1[[#This Row],[Minecraft Season Pass]]="Yes",20,0)</f>
        <v>20</v>
      </c>
      <c r="L19" s="11">
        <v>7</v>
      </c>
      <c r="M19" s="16">
        <f>SUM(F19,I19,K19-Tabela1[[#This Row],[Coupon Value]])</f>
        <v>28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f>IF(C22="Ultimate",15,IF(C22="Standard",10,IF(C22="Core",5,"")))</f>
        <v>15</v>
      </c>
      <c r="G22" s="8" t="s">
        <v>20</v>
      </c>
      <c r="H22" s="8" t="s">
        <v>23</v>
      </c>
      <c r="I22" s="11">
        <f>IF(Tabela1[[#This Row],[EA Play Season Pass]]="Yes",30,0)</f>
        <v>0</v>
      </c>
      <c r="J22" s="8" t="s">
        <v>19</v>
      </c>
      <c r="K22" s="11">
        <f>IF(Tabela1[[#This Row],[Minecraft Season Pass]]="Yes",20,0)</f>
        <v>20</v>
      </c>
      <c r="L22" s="11">
        <v>3</v>
      </c>
      <c r="M22" s="16">
        <f>SUM(F22,I22,K22-Tabela1[[#This Row],[Coupon Value]])</f>
        <v>32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26</v>
      </c>
      <c r="D25" s="10">
        <v>45371</v>
      </c>
      <c r="E25" s="8" t="s">
        <v>19</v>
      </c>
      <c r="F25" s="11">
        <f>IF(C25="Ultimate",15,IF(C25="Standard",10,IF(C25="Core",5,"")))</f>
        <v>10</v>
      </c>
      <c r="G25" s="8" t="s">
        <v>24</v>
      </c>
      <c r="H25" s="8" t="s">
        <v>23</v>
      </c>
      <c r="I25" s="11">
        <f>IF(Tabela1[[#This Row],[EA Play Season Pass]]="Yes",30,0)</f>
        <v>0</v>
      </c>
      <c r="J25" s="8" t="s">
        <v>19</v>
      </c>
      <c r="K25" s="11">
        <f>IF(Tabela1[[#This Row],[Minecraft Season Pass]]="Yes",20,0)</f>
        <v>20</v>
      </c>
      <c r="L25" s="11">
        <v>20</v>
      </c>
      <c r="M25" s="16">
        <f>SUM(F25,I25,K25-Tabela1[[#This Row],[Coupon Value]])</f>
        <v>10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26</v>
      </c>
      <c r="D28" s="10">
        <v>45374</v>
      </c>
      <c r="E28" s="8" t="s">
        <v>23</v>
      </c>
      <c r="F28" s="11">
        <f>IF(C28="Ultimate",15,IF(C28="Standard",10,IF(C28="Core",5,"")))</f>
        <v>10</v>
      </c>
      <c r="G28" s="8" t="s">
        <v>20</v>
      </c>
      <c r="H28" s="8" t="s">
        <v>23</v>
      </c>
      <c r="I28" s="11">
        <f>IF(Tabela1[[#This Row],[EA Play Season Pass]]="Yes",30,0)</f>
        <v>0</v>
      </c>
      <c r="J28" s="8" t="s">
        <v>19</v>
      </c>
      <c r="K28" s="11">
        <f>IF(Tabela1[[#This Row],[Minecraft Season Pass]]="Yes",20,0)</f>
        <v>20</v>
      </c>
      <c r="L28" s="11">
        <v>5</v>
      </c>
      <c r="M28" s="16">
        <f>SUM(F28,I28,K28-Tabela1[[#This Row],[Coupon Value]])</f>
        <v>25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26</v>
      </c>
      <c r="D31" s="10">
        <v>45377</v>
      </c>
      <c r="E31" s="8" t="s">
        <v>19</v>
      </c>
      <c r="F31" s="11">
        <f>IF(C31="Ultimate",15,IF(C31="Standard",10,IF(C31="Core",5,"")))</f>
        <v>10</v>
      </c>
      <c r="G31" s="8" t="s">
        <v>27</v>
      </c>
      <c r="H31" s="8" t="s">
        <v>19</v>
      </c>
      <c r="I31" s="11">
        <f>IF(Tabela1[[#This Row],[EA Play Season Pass]]="Yes",30,0)</f>
        <v>30</v>
      </c>
      <c r="J31" s="8" t="s">
        <v>19</v>
      </c>
      <c r="K31" s="11">
        <f>IF(Tabela1[[#This Row],[Minecraft Season Pass]]="Yes",20,0)</f>
        <v>20</v>
      </c>
      <c r="L31" s="11">
        <v>7</v>
      </c>
      <c r="M31" s="16">
        <f>SUM(F31,I31,K31-Tabela1[[#This Row],[Coupon Value]])</f>
        <v>53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f>IF(C34="Ultimate",15,IF(C34="Standard",10,IF(C34="Core",5,"")))</f>
        <v>15</v>
      </c>
      <c r="G34" s="8" t="s">
        <v>20</v>
      </c>
      <c r="H34" s="8" t="s">
        <v>19</v>
      </c>
      <c r="I34" s="11">
        <f>IF(Tabela1[[#This Row],[EA Play Season Pass]]="Yes",30,0)</f>
        <v>30</v>
      </c>
      <c r="J34" s="8" t="s">
        <v>23</v>
      </c>
      <c r="K34" s="11">
        <f>IF(Tabela1[[#This Row],[Minecraft Season Pass]]="Yes",20,0)</f>
        <v>0</v>
      </c>
      <c r="L34" s="11">
        <v>3</v>
      </c>
      <c r="M34" s="16">
        <f>SUM(F34,I34,K34-Tabela1[[#This Row],[Coupon Value]])</f>
        <v>42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f>IF(C38="Ultimate",15,IF(C38="Standard",10,IF(C38="Core",5,"")))</f>
        <v>15</v>
      </c>
      <c r="G38" s="8" t="s">
        <v>27</v>
      </c>
      <c r="H38" s="8" t="s">
        <v>23</v>
      </c>
      <c r="I38" s="11">
        <f>IF(Tabela1[[#This Row],[EA Play Season Pass]]="Yes",30,0)</f>
        <v>0</v>
      </c>
      <c r="J38" s="8" t="s">
        <v>19</v>
      </c>
      <c r="K38" s="11">
        <f>IF(Tabela1[[#This Row],[Minecraft Season Pass]]="Yes",20,0)</f>
        <v>20</v>
      </c>
      <c r="L38" s="11">
        <v>7</v>
      </c>
      <c r="M38" s="16">
        <f>SUM(F38,I38,K38-Tabela1[[#This Row],[Coupon Value]])</f>
        <v>28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f>IF(C41="Ultimate",15,IF(C41="Standard",10,IF(C41="Core",5,"")))</f>
        <v>15</v>
      </c>
      <c r="G41" s="8" t="s">
        <v>20</v>
      </c>
      <c r="H41" s="8" t="s">
        <v>23</v>
      </c>
      <c r="I41" s="11">
        <f>IF(Tabela1[[#This Row],[EA Play Season Pass]]="Yes",30,0)</f>
        <v>0</v>
      </c>
      <c r="J41" s="8" t="s">
        <v>19</v>
      </c>
      <c r="K41" s="11">
        <f>IF(Tabela1[[#This Row],[Minecraft Season Pass]]="Yes",20,0)</f>
        <v>20</v>
      </c>
      <c r="L41" s="11">
        <v>15</v>
      </c>
      <c r="M41" s="16">
        <f>SUM(F41,I41,K41-Tabela1[[#This Row],[Coupon Value]])</f>
        <v>20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22</v>
      </c>
      <c r="D44" s="10">
        <v>45390</v>
      </c>
      <c r="E44" s="8" t="s">
        <v>23</v>
      </c>
      <c r="F44" s="11">
        <f>IF(C44="Ultimate",15,IF(C44="Standard",10,IF(C44="Core",5,"")))</f>
        <v>5</v>
      </c>
      <c r="G44" s="8" t="s">
        <v>27</v>
      </c>
      <c r="H44" s="8" t="s">
        <v>19</v>
      </c>
      <c r="I44" s="11">
        <f>IF(Tabela1[[#This Row],[EA Play Season Pass]]="Yes",30,0)</f>
        <v>30</v>
      </c>
      <c r="J44" s="8" t="s">
        <v>19</v>
      </c>
      <c r="K44" s="11">
        <f>IF(Tabela1[[#This Row],[Minecraft Season Pass]]="Yes",20,0)</f>
        <v>20</v>
      </c>
      <c r="L44" s="11">
        <v>20</v>
      </c>
      <c r="M44" s="16">
        <f>SUM(F44,I44,K44-Tabela1[[#This Row],[Coupon Value]])</f>
        <v>35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f>IF(C47="Ultimate",15,IF(C47="Standard",10,IF(C47="Core",5,"")))</f>
        <v>15</v>
      </c>
      <c r="G47" s="8" t="s">
        <v>24</v>
      </c>
      <c r="H47" s="8" t="s">
        <v>19</v>
      </c>
      <c r="I47" s="11">
        <f>IF(Tabela1[[#This Row],[EA Play Season Pass]]="Yes",30,0)</f>
        <v>30</v>
      </c>
      <c r="J47" s="8" t="s">
        <v>23</v>
      </c>
      <c r="K47" s="11">
        <f>IF(Tabela1[[#This Row],[Minecraft Season Pass]]="Yes",20,0)</f>
        <v>0</v>
      </c>
      <c r="L47" s="11">
        <v>5</v>
      </c>
      <c r="M47" s="16">
        <f>SUM(F47,I47,K47-Tabela1[[#This Row],[Coupon Value]])</f>
        <v>40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f>IF(C50="Ultimate",15,IF(C50="Standard",10,IF(C50="Core",5,"")))</f>
        <v>15</v>
      </c>
      <c r="G50" s="8" t="s">
        <v>20</v>
      </c>
      <c r="H50" s="8" t="s">
        <v>19</v>
      </c>
      <c r="I50" s="11">
        <f>IF(Tabela1[[#This Row],[EA Play Season Pass]]="Yes",30,0)</f>
        <v>30</v>
      </c>
      <c r="J50" s="8" t="s">
        <v>19</v>
      </c>
      <c r="K50" s="11">
        <f>IF(Tabela1[[#This Row],[Minecraft Season Pass]]="Yes",20,0)</f>
        <v>20</v>
      </c>
      <c r="L50" s="11">
        <v>3</v>
      </c>
      <c r="M50" s="16">
        <f>SUM(F50,I50,K50-Tabela1[[#This Row],[Coupon Value]])</f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f>IF(C53="Ultimate",15,IF(C53="Standard",10,IF(C53="Core",5,"")))</f>
        <v>15</v>
      </c>
      <c r="G53" s="8" t="s">
        <v>27</v>
      </c>
      <c r="H53" s="8" t="s">
        <v>19</v>
      </c>
      <c r="I53" s="11">
        <f>IF(Tabela1[[#This Row],[EA Play Season Pass]]="Yes",30,0)</f>
        <v>30</v>
      </c>
      <c r="J53" s="8" t="s">
        <v>23</v>
      </c>
      <c r="K53" s="11">
        <f>IF(Tabela1[[#This Row],[Minecraft Season Pass]]="Yes",20,0)</f>
        <v>0</v>
      </c>
      <c r="L53" s="11">
        <v>7</v>
      </c>
      <c r="M53" s="16">
        <f>SUM(F53,I53,K53-Tabela1[[#This Row],[Coupon Value]])</f>
        <v>38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22</v>
      </c>
      <c r="D56" s="10">
        <v>45402</v>
      </c>
      <c r="E56" s="8" t="s">
        <v>23</v>
      </c>
      <c r="F56" s="11">
        <f>IF(C56="Ultimate",15,IF(C56="Standard",10,IF(C56="Core",5,"")))</f>
        <v>5</v>
      </c>
      <c r="G56" s="8" t="s">
        <v>20</v>
      </c>
      <c r="H56" s="8" t="s">
        <v>19</v>
      </c>
      <c r="I56" s="11">
        <f>IF(Tabela1[[#This Row],[EA Play Season Pass]]="Yes",30,0)</f>
        <v>30</v>
      </c>
      <c r="J56" s="8" t="s">
        <v>19</v>
      </c>
      <c r="K56" s="11">
        <f>IF(Tabela1[[#This Row],[Minecraft Season Pass]]="Yes",20,0)</f>
        <v>20</v>
      </c>
      <c r="L56" s="11">
        <v>20</v>
      </c>
      <c r="M56" s="16">
        <f>SUM(F56,I56,K56-Tabela1[[#This Row],[Coupon Value]])</f>
        <v>35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22</v>
      </c>
      <c r="D59" s="10">
        <v>45405</v>
      </c>
      <c r="E59" s="8" t="s">
        <v>19</v>
      </c>
      <c r="F59" s="11">
        <f>IF(C59="Ultimate",15,IF(C59="Standard",10,IF(C59="Core",5,"")))</f>
        <v>5</v>
      </c>
      <c r="G59" s="8" t="s">
        <v>24</v>
      </c>
      <c r="H59" s="8" t="s">
        <v>19</v>
      </c>
      <c r="I59" s="11">
        <f>IF(Tabela1[[#This Row],[EA Play Season Pass]]="Yes",30,0)</f>
        <v>30</v>
      </c>
      <c r="J59" s="8" t="s">
        <v>23</v>
      </c>
      <c r="K59" s="11">
        <f>IF(Tabela1[[#This Row],[Minecraft Season Pass]]="Yes",20,0)</f>
        <v>0</v>
      </c>
      <c r="L59" s="11">
        <v>3</v>
      </c>
      <c r="M59" s="16">
        <f>SUM(F59,I59,K59-Tabela1[[#This Row],[Coupon Value]])</f>
        <v>32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22</v>
      </c>
      <c r="D62" s="10">
        <v>45408</v>
      </c>
      <c r="E62" s="8" t="s">
        <v>23</v>
      </c>
      <c r="F62" s="11">
        <f>IF(C62="Ultimate",15,IF(C62="Standard",10,IF(C62="Core",5,"")))</f>
        <v>5</v>
      </c>
      <c r="G62" s="8" t="s">
        <v>20</v>
      </c>
      <c r="H62" s="8" t="s">
        <v>19</v>
      </c>
      <c r="I62" s="11">
        <f>IF(Tabela1[[#This Row],[EA Play Season Pass]]="Yes",30,0)</f>
        <v>30</v>
      </c>
      <c r="J62" s="8" t="s">
        <v>19</v>
      </c>
      <c r="K62" s="11">
        <f>IF(Tabela1[[#This Row],[Minecraft Season Pass]]="Yes",20,0)</f>
        <v>20</v>
      </c>
      <c r="L62" s="11">
        <v>5</v>
      </c>
      <c r="M62" s="16">
        <f>SUM(F62,I62,K62-Tabela1[[#This Row],[Coupon Value]])</f>
        <v>50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22</v>
      </c>
      <c r="D65" s="10">
        <v>45411</v>
      </c>
      <c r="E65" s="8" t="s">
        <v>19</v>
      </c>
      <c r="F65" s="11">
        <f>IF(C65="Ultimate",15,IF(C65="Standard",10,IF(C65="Core",5,"")))</f>
        <v>5</v>
      </c>
      <c r="G65" s="8" t="s">
        <v>27</v>
      </c>
      <c r="H65" s="8" t="s">
        <v>19</v>
      </c>
      <c r="I65" s="11">
        <f>IF(Tabela1[[#This Row],[EA Play Season Pass]]="Yes",30,0)</f>
        <v>30</v>
      </c>
      <c r="J65" s="8" t="s">
        <v>19</v>
      </c>
      <c r="K65" s="11">
        <f>IF(Tabela1[[#This Row],[Minecraft Season Pass]]="Yes",20,0)</f>
        <v>20</v>
      </c>
      <c r="L65" s="11">
        <v>20</v>
      </c>
      <c r="M65" s="16">
        <f>SUM(F65,I65,K65-Tabela1[[#This Row],[Coupon Value]])</f>
        <v>35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22</v>
      </c>
      <c r="D68" s="10">
        <v>45414</v>
      </c>
      <c r="E68" s="8" t="s">
        <v>19</v>
      </c>
      <c r="F68" s="11">
        <f>IF(C68="Ultimate",15,IF(C68="Standard",10,IF(C68="Core",5,"")))</f>
        <v>5</v>
      </c>
      <c r="G68" s="8" t="s">
        <v>27</v>
      </c>
      <c r="H68" s="8" t="s">
        <v>19</v>
      </c>
      <c r="I68" s="11">
        <f>IF(Tabela1[[#This Row],[EA Play Season Pass]]="Yes",30,0)</f>
        <v>30</v>
      </c>
      <c r="J68" s="8" t="s">
        <v>19</v>
      </c>
      <c r="K68" s="11">
        <f>IF(Tabela1[[#This Row],[Minecraft Season Pass]]="Yes",20,0)</f>
        <v>20</v>
      </c>
      <c r="L68" s="11">
        <v>7</v>
      </c>
      <c r="M68" s="16">
        <f>SUM(F68,I68,K68-Tabela1[[#This Row],[Coupon Value]])</f>
        <v>48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22</v>
      </c>
      <c r="D71" s="10">
        <v>45417</v>
      </c>
      <c r="E71" s="8" t="s">
        <v>23</v>
      </c>
      <c r="F71" s="11">
        <f>IF(C71="Ultimate",15,IF(C71="Standard",10,IF(C71="Core",5,"")))</f>
        <v>5</v>
      </c>
      <c r="G71" s="8" t="s">
        <v>20</v>
      </c>
      <c r="H71" s="8" t="s">
        <v>19</v>
      </c>
      <c r="I71" s="11">
        <f>IF(Tabela1[[#This Row],[EA Play Season Pass]]="Yes",30,0)</f>
        <v>30</v>
      </c>
      <c r="J71" s="8" t="s">
        <v>23</v>
      </c>
      <c r="K71" s="11">
        <f>IF(Tabela1[[#This Row],[Minecraft Season Pass]]="Yes",20,0)</f>
        <v>0</v>
      </c>
      <c r="L71" s="11">
        <v>15</v>
      </c>
      <c r="M71" s="16">
        <f>SUM(F71,I71,K71-Tabela1[[#This Row],[Coupon Value]])</f>
        <v>20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f>IF(C74="Ultimate",15,IF(C74="Standard",10,IF(C74="Core",5,"")))</f>
        <v>15</v>
      </c>
      <c r="G74" s="8" t="s">
        <v>27</v>
      </c>
      <c r="H74" s="8" t="s">
        <v>19</v>
      </c>
      <c r="I74" s="11">
        <f>IF(Tabela1[[#This Row],[EA Play Season Pass]]="Yes",30,0)</f>
        <v>30</v>
      </c>
      <c r="J74" s="8" t="s">
        <v>19</v>
      </c>
      <c r="K74" s="11">
        <f>IF(Tabela1[[#This Row],[Minecraft Season Pass]]="Yes",20,0)</f>
        <v>20</v>
      </c>
      <c r="L74" s="11">
        <v>20</v>
      </c>
      <c r="M74" s="16">
        <f>SUM(F74,I74,K74-Tabela1[[#This Row],[Coupon Value]])</f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f>IF(C77="Ultimate",15,IF(C77="Standard",10,IF(C77="Core",5,"")))</f>
        <v>15</v>
      </c>
      <c r="G77" s="8" t="s">
        <v>24</v>
      </c>
      <c r="H77" s="8" t="s">
        <v>19</v>
      </c>
      <c r="I77" s="11">
        <f>IF(Tabela1[[#This Row],[EA Play Season Pass]]="Yes",30,0)</f>
        <v>30</v>
      </c>
      <c r="J77" s="8" t="s">
        <v>19</v>
      </c>
      <c r="K77" s="11">
        <f>IF(Tabela1[[#This Row],[Minecraft Season Pass]]="Yes",20,0)</f>
        <v>20</v>
      </c>
      <c r="L77" s="11">
        <v>5</v>
      </c>
      <c r="M77" s="16">
        <f>SUM(F77,I77,K77-Tabela1[[#This Row],[Coupon Value]])</f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26</v>
      </c>
      <c r="D80" s="10">
        <v>45426</v>
      </c>
      <c r="E80" s="8" t="s">
        <v>19</v>
      </c>
      <c r="F80" s="11">
        <f>IF(C80="Ultimate",15,IF(C80="Standard",10,IF(C80="Core",5,"")))</f>
        <v>10</v>
      </c>
      <c r="G80" s="8" t="s">
        <v>20</v>
      </c>
      <c r="H80" s="8" t="s">
        <v>19</v>
      </c>
      <c r="I80" s="11">
        <f>IF(Tabela1[[#This Row],[EA Play Season Pass]]="Yes",30,0)</f>
        <v>30</v>
      </c>
      <c r="J80" s="8" t="s">
        <v>19</v>
      </c>
      <c r="K80" s="11">
        <f>IF(Tabela1[[#This Row],[Minecraft Season Pass]]="Yes",20,0)</f>
        <v>20</v>
      </c>
      <c r="L80" s="11">
        <v>3</v>
      </c>
      <c r="M80" s="16">
        <f>SUM(F80,I80,K80-Tabela1[[#This Row],[Coupon Value]])</f>
        <v>57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26</v>
      </c>
      <c r="D83" s="10">
        <v>45429</v>
      </c>
      <c r="E83" s="8" t="s">
        <v>23</v>
      </c>
      <c r="F83" s="11">
        <f>IF(C83="Ultimate",15,IF(C83="Standard",10,IF(C83="Core",5,"")))</f>
        <v>10</v>
      </c>
      <c r="G83" s="8" t="s">
        <v>27</v>
      </c>
      <c r="H83" s="8" t="s">
        <v>19</v>
      </c>
      <c r="I83" s="11">
        <f>IF(Tabela1[[#This Row],[EA Play Season Pass]]="Yes",30,0)</f>
        <v>30</v>
      </c>
      <c r="J83" s="8" t="s">
        <v>19</v>
      </c>
      <c r="K83" s="11">
        <f>IF(Tabela1[[#This Row],[Minecraft Season Pass]]="Yes",20,0)</f>
        <v>20</v>
      </c>
      <c r="L83" s="11">
        <v>7</v>
      </c>
      <c r="M83" s="16">
        <f>SUM(F83,I83,K83-Tabela1[[#This Row],[Coupon Value]])</f>
        <v>53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26</v>
      </c>
      <c r="D86" s="10">
        <v>45432</v>
      </c>
      <c r="E86" s="8" t="s">
        <v>19</v>
      </c>
      <c r="F86" s="11">
        <f>IF(C86="Ultimate",15,IF(C86="Standard",10,IF(C86="Core",5,"")))</f>
        <v>10</v>
      </c>
      <c r="G86" s="8" t="s">
        <v>20</v>
      </c>
      <c r="H86" s="8" t="s">
        <v>19</v>
      </c>
      <c r="I86" s="11">
        <f>IF(Tabela1[[#This Row],[EA Play Season Pass]]="Yes",30,0)</f>
        <v>30</v>
      </c>
      <c r="J86" s="8" t="s">
        <v>19</v>
      </c>
      <c r="K86" s="11">
        <f>IF(Tabela1[[#This Row],[Minecraft Season Pass]]="Yes",20,0)</f>
        <v>20</v>
      </c>
      <c r="L86" s="11">
        <v>20</v>
      </c>
      <c r="M86" s="16">
        <f>SUM(F86,I86,K86-Tabela1[[#This Row],[Coupon Value]])</f>
        <v>40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26</v>
      </c>
      <c r="D89" s="10">
        <v>45435</v>
      </c>
      <c r="E89" s="8" t="s">
        <v>23</v>
      </c>
      <c r="F89" s="11">
        <f>IF(C89="Ultimate",15,IF(C89="Standard",10,IF(C89="Core",5,"")))</f>
        <v>10</v>
      </c>
      <c r="G89" s="8" t="s">
        <v>24</v>
      </c>
      <c r="H89" s="8" t="s">
        <v>19</v>
      </c>
      <c r="I89" s="11">
        <f>IF(Tabela1[[#This Row],[EA Play Season Pass]]="Yes",30,0)</f>
        <v>30</v>
      </c>
      <c r="J89" s="8" t="s">
        <v>19</v>
      </c>
      <c r="K89" s="11">
        <f>IF(Tabela1[[#This Row],[Minecraft Season Pass]]="Yes",20,0)</f>
        <v>20</v>
      </c>
      <c r="L89" s="11">
        <v>3</v>
      </c>
      <c r="M89" s="16">
        <f>SUM(F89,I89,K89-Tabela1[[#This Row],[Coupon Value]])</f>
        <v>57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26</v>
      </c>
      <c r="D92" s="10">
        <v>45438</v>
      </c>
      <c r="E92" s="8" t="s">
        <v>19</v>
      </c>
      <c r="F92" s="11">
        <f>IF(C92="Ultimate",15,IF(C92="Standard",10,IF(C92="Core",5,"")))</f>
        <v>10</v>
      </c>
      <c r="G92" s="8" t="s">
        <v>20</v>
      </c>
      <c r="H92" s="8" t="s">
        <v>19</v>
      </c>
      <c r="I92" s="11">
        <f>IF(Tabela1[[#This Row],[EA Play Season Pass]]="Yes",30,0)</f>
        <v>30</v>
      </c>
      <c r="J92" s="8" t="s">
        <v>23</v>
      </c>
      <c r="K92" s="11">
        <f>IF(Tabela1[[#This Row],[Minecraft Season Pass]]="Yes",20,0)</f>
        <v>0</v>
      </c>
      <c r="L92" s="11">
        <v>5</v>
      </c>
      <c r="M92" s="16">
        <f>SUM(F92,I92,K92-Tabela1[[#This Row],[Coupon Value]])</f>
        <v>35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26</v>
      </c>
      <c r="D95" s="10">
        <v>45441</v>
      </c>
      <c r="E95" s="8" t="s">
        <v>23</v>
      </c>
      <c r="F95" s="11">
        <f>IF(C95="Ultimate",15,IF(C95="Standard",10,IF(C95="Core",5,"")))</f>
        <v>10</v>
      </c>
      <c r="G95" s="8" t="s">
        <v>27</v>
      </c>
      <c r="H95" s="8" t="s">
        <v>19</v>
      </c>
      <c r="I95" s="11">
        <f>IF(Tabela1[[#This Row],[EA Play Season Pass]]="Yes",30,0)</f>
        <v>30</v>
      </c>
      <c r="J95" s="8" t="s">
        <v>19</v>
      </c>
      <c r="K95" s="11">
        <f>IF(Tabela1[[#This Row],[Minecraft Season Pass]]="Yes",20,0)</f>
        <v>20</v>
      </c>
      <c r="L95" s="11">
        <v>20</v>
      </c>
      <c r="M95" s="16">
        <f>SUM(F95,I95,K95-Tabela1[[#This Row],[Coupon Value]])</f>
        <v>40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26</v>
      </c>
      <c r="D98" s="10">
        <v>45444</v>
      </c>
      <c r="E98" s="8" t="s">
        <v>19</v>
      </c>
      <c r="F98" s="11">
        <f>IF(C98="Ultimate",15,IF(C98="Standard",10,IF(C98="Core",5,"")))</f>
        <v>10</v>
      </c>
      <c r="G98" s="8" t="s">
        <v>20</v>
      </c>
      <c r="H98" s="8" t="s">
        <v>19</v>
      </c>
      <c r="I98" s="11">
        <f>IF(Tabela1[[#This Row],[EA Play Season Pass]]="Yes",30,0)</f>
        <v>30</v>
      </c>
      <c r="J98" s="8" t="s">
        <v>19</v>
      </c>
      <c r="K98" s="11">
        <f>IF(Tabela1[[#This Row],[Minecraft Season Pass]]="Yes",20,0)</f>
        <v>20</v>
      </c>
      <c r="L98" s="11">
        <v>7</v>
      </c>
      <c r="M98" s="16">
        <f>SUM(F98,I98,K98-Tabela1[[#This Row],[Coupon Value]])</f>
        <v>53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f>IF(C101="Ultimate",15,IF(C101="Standard",10,IF(C101="Core",5,"")))</f>
        <v>15</v>
      </c>
      <c r="G101" s="8" t="s">
        <v>20</v>
      </c>
      <c r="H101" s="8" t="s">
        <v>19</v>
      </c>
      <c r="I101" s="11">
        <f>IF(Tabela1[[#This Row],[EA Play Season Pass]]="Yes",30,0)</f>
        <v>30</v>
      </c>
      <c r="J101" s="8" t="s">
        <v>19</v>
      </c>
      <c r="K101" s="11">
        <f>IF(Tabela1[[#This Row],[Minecraft Season Pass]]="Yes",20,0)</f>
        <v>20</v>
      </c>
      <c r="L101" s="11">
        <v>15</v>
      </c>
      <c r="M101" s="16">
        <f>SUM(F101,I101,K101-Tabela1[[#This Row],[Coupon Value]])</f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f>IF(C104="Ultimate",15,IF(C104="Standard",10,IF(C104="Core",5,"")))</f>
        <v>15</v>
      </c>
      <c r="G104" s="8" t="s">
        <v>27</v>
      </c>
      <c r="H104" s="8" t="s">
        <v>19</v>
      </c>
      <c r="I104" s="11">
        <f>IF(Tabela1[[#This Row],[EA Play Season Pass]]="Yes",30,0)</f>
        <v>30</v>
      </c>
      <c r="J104" s="8" t="s">
        <v>19</v>
      </c>
      <c r="K104" s="11">
        <f>IF(Tabela1[[#This Row],[Minecraft Season Pass]]="Yes",20,0)</f>
        <v>20</v>
      </c>
      <c r="L104" s="11">
        <v>20</v>
      </c>
      <c r="M104" s="16">
        <f>SUM(F104,I104,K104-Tabela1[[#This Row],[Coupon Value]])</f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22</v>
      </c>
      <c r="D108" s="10">
        <v>45454</v>
      </c>
      <c r="E108" s="8" t="s">
        <v>23</v>
      </c>
      <c r="F108" s="11">
        <f>IF(C108="Ultimate",15,IF(C108="Standard",10,IF(C108="Core",5,"")))</f>
        <v>5</v>
      </c>
      <c r="G108" s="8" t="s">
        <v>27</v>
      </c>
      <c r="H108" s="8" t="s">
        <v>19</v>
      </c>
      <c r="I108" s="11">
        <f>IF(Tabela1[[#This Row],[EA Play Season Pass]]="Yes",30,0)</f>
        <v>30</v>
      </c>
      <c r="J108" s="8" t="s">
        <v>19</v>
      </c>
      <c r="K108" s="11">
        <f>IF(Tabela1[[#This Row],[Minecraft Season Pass]]="Yes",20,0)</f>
        <v>20</v>
      </c>
      <c r="L108" s="11">
        <v>7</v>
      </c>
      <c r="M108" s="16">
        <f>SUM(F108,I108,K108-Tabela1[[#This Row],[Coupon Value]])</f>
        <v>48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f>IF(C111="Ultimate",15,IF(C111="Standard",10,IF(C111="Core",5,"")))</f>
        <v>15</v>
      </c>
      <c r="G111" s="8" t="s">
        <v>20</v>
      </c>
      <c r="H111" s="8" t="s">
        <v>19</v>
      </c>
      <c r="I111" s="11">
        <f>IF(Tabela1[[#This Row],[EA Play Season Pass]]="Yes",30,0)</f>
        <v>30</v>
      </c>
      <c r="J111" s="8" t="s">
        <v>19</v>
      </c>
      <c r="K111" s="11">
        <f>IF(Tabela1[[#This Row],[Minecraft Season Pass]]="Yes",20,0)</f>
        <v>20</v>
      </c>
      <c r="L111" s="11">
        <v>15</v>
      </c>
      <c r="M111" s="16">
        <f>SUM(F111,I111,K111-Tabela1[[#This Row],[Coupon Value]])</f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26</v>
      </c>
      <c r="D114" s="10">
        <v>45460</v>
      </c>
      <c r="E114" s="8" t="s">
        <v>23</v>
      </c>
      <c r="F114" s="11">
        <f>IF(C114="Ultimate",15,IF(C114="Standard",10,IF(C114="Core",5,"")))</f>
        <v>10</v>
      </c>
      <c r="G114" s="8" t="s">
        <v>27</v>
      </c>
      <c r="H114" s="8" t="s">
        <v>19</v>
      </c>
      <c r="I114" s="11">
        <f>IF(Tabela1[[#This Row],[EA Play Season Pass]]="Yes",30,0)</f>
        <v>30</v>
      </c>
      <c r="J114" s="8" t="s">
        <v>19</v>
      </c>
      <c r="K114" s="11">
        <f>IF(Tabela1[[#This Row],[Minecraft Season Pass]]="Yes",20,0)</f>
        <v>20</v>
      </c>
      <c r="L114" s="11">
        <v>20</v>
      </c>
      <c r="M114" s="16">
        <f>SUM(F114,I114,K114-Tabela1[[#This Row],[Coupon Value]])</f>
        <v>40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26</v>
      </c>
      <c r="D117" s="10">
        <v>45463</v>
      </c>
      <c r="E117" s="8" t="s">
        <v>19</v>
      </c>
      <c r="F117" s="11">
        <f>IF(C117="Ultimate",15,IF(C117="Standard",10,IF(C117="Core",5,"")))</f>
        <v>10</v>
      </c>
      <c r="G117" s="8" t="s">
        <v>24</v>
      </c>
      <c r="H117" s="8" t="s">
        <v>19</v>
      </c>
      <c r="I117" s="11">
        <f>IF(Tabela1[[#This Row],[EA Play Season Pass]]="Yes",30,0)</f>
        <v>30</v>
      </c>
      <c r="J117" s="8" t="s">
        <v>19</v>
      </c>
      <c r="K117" s="11">
        <f>IF(Tabela1[[#This Row],[Minecraft Season Pass]]="Yes",20,0)</f>
        <v>20</v>
      </c>
      <c r="L117" s="11">
        <v>5</v>
      </c>
      <c r="M117" s="16">
        <f>SUM(F117,I117,K117-Tabela1[[#This Row],[Coupon Value]])</f>
        <v>55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26</v>
      </c>
      <c r="D120" s="10">
        <v>45466</v>
      </c>
      <c r="E120" s="8" t="s">
        <v>23</v>
      </c>
      <c r="F120" s="11">
        <f>IF(C120="Ultimate",15,IF(C120="Standard",10,IF(C120="Core",5,"")))</f>
        <v>10</v>
      </c>
      <c r="G120" s="8" t="s">
        <v>20</v>
      </c>
      <c r="H120" s="8" t="s">
        <v>19</v>
      </c>
      <c r="I120" s="11">
        <f>IF(Tabela1[[#This Row],[EA Play Season Pass]]="Yes",30,0)</f>
        <v>30</v>
      </c>
      <c r="J120" s="8" t="s">
        <v>19</v>
      </c>
      <c r="K120" s="11">
        <f>IF(Tabela1[[#This Row],[Minecraft Season Pass]]="Yes",20,0)</f>
        <v>20</v>
      </c>
      <c r="L120" s="11">
        <v>3</v>
      </c>
      <c r="M120" s="16">
        <f>SUM(F120,I120,K120-Tabela1[[#This Row],[Coupon Value]])</f>
        <v>57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26</v>
      </c>
      <c r="D123" s="10">
        <v>45469</v>
      </c>
      <c r="E123" s="8" t="s">
        <v>19</v>
      </c>
      <c r="F123" s="11">
        <f>IF(C123="Ultimate",15,IF(C123="Standard",10,IF(C123="Core",5,"")))</f>
        <v>10</v>
      </c>
      <c r="G123" s="8" t="s">
        <v>27</v>
      </c>
      <c r="H123" s="8" t="s">
        <v>19</v>
      </c>
      <c r="I123" s="11">
        <f>IF(Tabela1[[#This Row],[EA Play Season Pass]]="Yes",30,0)</f>
        <v>30</v>
      </c>
      <c r="J123" s="8" t="s">
        <v>19</v>
      </c>
      <c r="K123" s="11">
        <f>IF(Tabela1[[#This Row],[Minecraft Season Pass]]="Yes",20,0)</f>
        <v>20</v>
      </c>
      <c r="L123" s="11">
        <v>7</v>
      </c>
      <c r="M123" s="16">
        <f>SUM(F123,I123,K123-Tabela1[[#This Row],[Coupon Value]])</f>
        <v>53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26</v>
      </c>
      <c r="D126" s="10">
        <v>45472</v>
      </c>
      <c r="E126" s="8" t="s">
        <v>23</v>
      </c>
      <c r="F126" s="11">
        <f>IF(C126="Ultimate",15,IF(C126="Standard",10,IF(C126="Core",5,"")))</f>
        <v>10</v>
      </c>
      <c r="G126" s="8" t="s">
        <v>20</v>
      </c>
      <c r="H126" s="8" t="s">
        <v>19</v>
      </c>
      <c r="I126" s="11">
        <f>IF(Tabela1[[#This Row],[EA Play Season Pass]]="Yes",30,0)</f>
        <v>30</v>
      </c>
      <c r="J126" s="8" t="s">
        <v>19</v>
      </c>
      <c r="K126" s="11">
        <f>IF(Tabela1[[#This Row],[Minecraft Season Pass]]="Yes",20,0)</f>
        <v>20</v>
      </c>
      <c r="L126" s="11">
        <v>20</v>
      </c>
      <c r="M126" s="16">
        <f>SUM(F126,I126,K126-Tabela1[[#This Row],[Coupon Value]])</f>
        <v>40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22</v>
      </c>
      <c r="D129" s="10">
        <v>45475</v>
      </c>
      <c r="E129" s="8" t="s">
        <v>19</v>
      </c>
      <c r="F129" s="11">
        <f>IF(C129="Ultimate",15,IF(C129="Standard",10,IF(C129="Core",5,"")))</f>
        <v>5</v>
      </c>
      <c r="G129" s="8" t="s">
        <v>24</v>
      </c>
      <c r="H129" s="8" t="s">
        <v>19</v>
      </c>
      <c r="I129" s="11">
        <f>IF(Tabela1[[#This Row],[EA Play Season Pass]]="Yes",30,0)</f>
        <v>30</v>
      </c>
      <c r="J129" s="8" t="s">
        <v>19</v>
      </c>
      <c r="K129" s="11">
        <f>IF(Tabela1[[#This Row],[Minecraft Season Pass]]="Yes",20,0)</f>
        <v>20</v>
      </c>
      <c r="L129" s="11">
        <v>3</v>
      </c>
      <c r="M129" s="16">
        <f>SUM(F129,I129,K129-Tabela1[[#This Row],[Coupon Value]])</f>
        <v>52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f>IF(C132="Ultimate",15,IF(C132="Standard",10,IF(C132="Core",5,"")))</f>
        <v>15</v>
      </c>
      <c r="G132" s="8" t="s">
        <v>20</v>
      </c>
      <c r="H132" s="8" t="s">
        <v>19</v>
      </c>
      <c r="I132" s="11">
        <f>IF(Tabela1[[#This Row],[EA Play Season Pass]]="Yes",30,0)</f>
        <v>30</v>
      </c>
      <c r="J132" s="8" t="s">
        <v>19</v>
      </c>
      <c r="K132" s="11">
        <f>IF(Tabela1[[#This Row],[Minecraft Season Pass]]="Yes",20,0)</f>
        <v>20</v>
      </c>
      <c r="L132" s="11">
        <v>15</v>
      </c>
      <c r="M132" s="16">
        <f>SUM(F132,I132,K132-Tabela1[[#This Row],[Coupon Value]])</f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f>IF(C135="Ultimate",15,IF(C135="Standard",10,IF(C135="Core",5,"")))</f>
        <v>15</v>
      </c>
      <c r="G135" s="8" t="s">
        <v>27</v>
      </c>
      <c r="H135" s="8" t="s">
        <v>19</v>
      </c>
      <c r="I135" s="11">
        <f>IF(Tabela1[[#This Row],[EA Play Season Pass]]="Yes",30,0)</f>
        <v>30</v>
      </c>
      <c r="J135" s="8" t="s">
        <v>19</v>
      </c>
      <c r="K135" s="11">
        <f>IF(Tabela1[[#This Row],[Minecraft Season Pass]]="Yes",20,0)</f>
        <v>20</v>
      </c>
      <c r="L135" s="11">
        <v>7</v>
      </c>
      <c r="M135" s="16">
        <f>SUM(F135,I135,K135-Tabela1[[#This Row],[Coupon Value]])</f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f>IF(C138="Ultimate",15,IF(C138="Standard",10,IF(C138="Core",5,"")))</f>
        <v>15</v>
      </c>
      <c r="G138" s="8" t="s">
        <v>27</v>
      </c>
      <c r="H138" s="8" t="s">
        <v>23</v>
      </c>
      <c r="I138" s="11">
        <f>IF(Tabela1[[#This Row],[EA Play Season Pass]]="Yes",30,0)</f>
        <v>0</v>
      </c>
      <c r="J138" s="8" t="s">
        <v>19</v>
      </c>
      <c r="K138" s="11">
        <f>IF(Tabela1[[#This Row],[Minecraft Season Pass]]="Yes",20,0)</f>
        <v>20</v>
      </c>
      <c r="L138" s="11">
        <v>7</v>
      </c>
      <c r="M138" s="16">
        <f>SUM(F138,I138,K138-Tabela1[[#This Row],[Coupon Value]])</f>
        <v>28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f>IF(C141="Ultimate",15,IF(C141="Standard",10,IF(C141="Core",5,"")))</f>
        <v>15</v>
      </c>
      <c r="G141" s="8" t="s">
        <v>20</v>
      </c>
      <c r="H141" s="8" t="s">
        <v>23</v>
      </c>
      <c r="I141" s="11">
        <f>IF(Tabela1[[#This Row],[EA Play Season Pass]]="Yes",30,0)</f>
        <v>0</v>
      </c>
      <c r="J141" s="8" t="s">
        <v>19</v>
      </c>
      <c r="K141" s="11">
        <f>IF(Tabela1[[#This Row],[Minecraft Season Pass]]="Yes",20,0)</f>
        <v>20</v>
      </c>
      <c r="L141" s="11">
        <v>15</v>
      </c>
      <c r="M141" s="16">
        <f>SUM(F141,I141,K141-Tabela1[[#This Row],[Coupon Value]])</f>
        <v>20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26</v>
      </c>
      <c r="D144" s="10">
        <v>45490</v>
      </c>
      <c r="E144" s="8" t="s">
        <v>23</v>
      </c>
      <c r="F144" s="11">
        <f>IF(C144="Ultimate",15,IF(C144="Standard",10,IF(C144="Core",5,"")))</f>
        <v>10</v>
      </c>
      <c r="G144" s="8" t="s">
        <v>27</v>
      </c>
      <c r="H144" s="8" t="s">
        <v>23</v>
      </c>
      <c r="I144" s="11">
        <f>IF(Tabela1[[#This Row],[EA Play Season Pass]]="Yes",30,0)</f>
        <v>0</v>
      </c>
      <c r="J144" s="8" t="s">
        <v>19</v>
      </c>
      <c r="K144" s="11">
        <f>IF(Tabela1[[#This Row],[Minecraft Season Pass]]="Yes",20,0)</f>
        <v>20</v>
      </c>
      <c r="L144" s="11">
        <v>20</v>
      </c>
      <c r="M144" s="16">
        <f>SUM(F144,I144,K144-Tabela1[[#This Row],[Coupon Value]])</f>
        <v>10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26</v>
      </c>
      <c r="D147" s="10">
        <v>45493</v>
      </c>
      <c r="E147" s="8" t="s">
        <v>19</v>
      </c>
      <c r="F147" s="11">
        <f>IF(C147="Ultimate",15,IF(C147="Standard",10,IF(C147="Core",5,"")))</f>
        <v>10</v>
      </c>
      <c r="G147" s="8" t="s">
        <v>24</v>
      </c>
      <c r="H147" s="8" t="s">
        <v>23</v>
      </c>
      <c r="I147" s="11">
        <f>IF(Tabela1[[#This Row],[EA Play Season Pass]]="Yes",30,0)</f>
        <v>0</v>
      </c>
      <c r="J147" s="8" t="s">
        <v>19</v>
      </c>
      <c r="K147" s="11">
        <f>IF(Tabela1[[#This Row],[Minecraft Season Pass]]="Yes",20,0)</f>
        <v>20</v>
      </c>
      <c r="L147" s="11">
        <v>5</v>
      </c>
      <c r="M147" s="16">
        <f>SUM(F147,I147,K147-Tabela1[[#This Row],[Coupon Value]])</f>
        <v>25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26</v>
      </c>
      <c r="D150" s="10">
        <v>45496</v>
      </c>
      <c r="E150" s="8" t="s">
        <v>23</v>
      </c>
      <c r="F150" s="11">
        <f>IF(C150="Ultimate",15,IF(C150="Standard",10,IF(C150="Core",5,"")))</f>
        <v>10</v>
      </c>
      <c r="G150" s="8" t="s">
        <v>20</v>
      </c>
      <c r="H150" s="8" t="s">
        <v>19</v>
      </c>
      <c r="I150" s="11">
        <f>IF(Tabela1[[#This Row],[EA Play Season Pass]]="Yes",30,0)</f>
        <v>30</v>
      </c>
      <c r="J150" s="8" t="s">
        <v>19</v>
      </c>
      <c r="K150" s="11">
        <f>IF(Tabela1[[#This Row],[Minecraft Season Pass]]="Yes",20,0)</f>
        <v>20</v>
      </c>
      <c r="L150" s="11">
        <v>3</v>
      </c>
      <c r="M150" s="16">
        <f>SUM(F150,I150,K150-Tabela1[[#This Row],[Coupon Value]])</f>
        <v>57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26</v>
      </c>
      <c r="D153" s="10">
        <v>45499</v>
      </c>
      <c r="E153" s="8" t="s">
        <v>19</v>
      </c>
      <c r="F153" s="11">
        <f>IF(C153="Ultimate",15,IF(C153="Standard",10,IF(C153="Core",5,"")))</f>
        <v>10</v>
      </c>
      <c r="G153" s="8" t="s">
        <v>27</v>
      </c>
      <c r="H153" s="8" t="s">
        <v>19</v>
      </c>
      <c r="I153" s="11">
        <f>IF(Tabela1[[#This Row],[EA Play Season Pass]]="Yes",30,0)</f>
        <v>30</v>
      </c>
      <c r="J153" s="8" t="s">
        <v>19</v>
      </c>
      <c r="K153" s="11">
        <f>IF(Tabela1[[#This Row],[Minecraft Season Pass]]="Yes",20,0)</f>
        <v>20</v>
      </c>
      <c r="L153" s="11">
        <v>7</v>
      </c>
      <c r="M153" s="16">
        <f>SUM(F153,I153,K153-Tabela1[[#This Row],[Coupon Value]])</f>
        <v>53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26</v>
      </c>
      <c r="D156" s="10">
        <v>45502</v>
      </c>
      <c r="E156" s="8" t="s">
        <v>23</v>
      </c>
      <c r="F156" s="11">
        <f>IF(C156="Ultimate",15,IF(C156="Standard",10,IF(C156="Core",5,"")))</f>
        <v>10</v>
      </c>
      <c r="G156" s="8" t="s">
        <v>20</v>
      </c>
      <c r="H156" s="8" t="s">
        <v>19</v>
      </c>
      <c r="I156" s="11">
        <f>IF(Tabela1[[#This Row],[EA Play Season Pass]]="Yes",30,0)</f>
        <v>30</v>
      </c>
      <c r="J156" s="8" t="s">
        <v>19</v>
      </c>
      <c r="K156" s="11">
        <f>IF(Tabela1[[#This Row],[Minecraft Season Pass]]="Yes",20,0)</f>
        <v>20</v>
      </c>
      <c r="L156" s="11">
        <v>20</v>
      </c>
      <c r="M156" s="16">
        <f>SUM(F156,I156,K156-Tabela1[[#This Row],[Coupon Value]])</f>
        <v>40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22</v>
      </c>
      <c r="D159" s="10">
        <v>45505</v>
      </c>
      <c r="E159" s="8" t="s">
        <v>19</v>
      </c>
      <c r="F159" s="11">
        <f>IF(C159="Ultimate",15,IF(C159="Standard",10,IF(C159="Core",5,"")))</f>
        <v>5</v>
      </c>
      <c r="G159" s="8" t="s">
        <v>24</v>
      </c>
      <c r="H159" s="8" t="s">
        <v>19</v>
      </c>
      <c r="I159" s="11">
        <f>IF(Tabela1[[#This Row],[EA Play Season Pass]]="Yes",30,0)</f>
        <v>30</v>
      </c>
      <c r="J159" s="8" t="s">
        <v>19</v>
      </c>
      <c r="K159" s="11">
        <f>IF(Tabela1[[#This Row],[Minecraft Season Pass]]="Yes",20,0)</f>
        <v>20</v>
      </c>
      <c r="L159" s="11">
        <v>3</v>
      </c>
      <c r="M159" s="16">
        <f>SUM(F159,I159,K159-Tabela1[[#This Row],[Coupon Value]])</f>
        <v>52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22</v>
      </c>
      <c r="D162" s="10">
        <v>45508</v>
      </c>
      <c r="E162" s="8" t="s">
        <v>23</v>
      </c>
      <c r="F162" s="11">
        <f>IF(C162="Ultimate",15,IF(C162="Standard",10,IF(C162="Core",5,"")))</f>
        <v>5</v>
      </c>
      <c r="G162" s="8" t="s">
        <v>20</v>
      </c>
      <c r="H162" s="8" t="s">
        <v>19</v>
      </c>
      <c r="I162" s="11">
        <f>IF(Tabela1[[#This Row],[EA Play Season Pass]]="Yes",30,0)</f>
        <v>30</v>
      </c>
      <c r="J162" s="8" t="s">
        <v>19</v>
      </c>
      <c r="K162" s="11">
        <f>IF(Tabela1[[#This Row],[Minecraft Season Pass]]="Yes",20,0)</f>
        <v>20</v>
      </c>
      <c r="L162" s="11">
        <v>15</v>
      </c>
      <c r="M162" s="16">
        <f>SUM(F162,I162,K162-Tabela1[[#This Row],[Coupon Value]])</f>
        <v>40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f>IF(C165="Ultimate",15,IF(C165="Standard",10,IF(C165="Core",5,"")))</f>
        <v>15</v>
      </c>
      <c r="G165" s="8" t="s">
        <v>27</v>
      </c>
      <c r="H165" s="8" t="s">
        <v>19</v>
      </c>
      <c r="I165" s="11">
        <f>IF(Tabela1[[#This Row],[EA Play Season Pass]]="Yes",30,0)</f>
        <v>30</v>
      </c>
      <c r="J165" s="8" t="s">
        <v>19</v>
      </c>
      <c r="K165" s="11">
        <f>IF(Tabela1[[#This Row],[Minecraft Season Pass]]="Yes",20,0)</f>
        <v>20</v>
      </c>
      <c r="L165" s="11">
        <v>7</v>
      </c>
      <c r="M165" s="16">
        <f>SUM(F165,I165,K165-Tabela1[[#This Row],[Coupon Value]])</f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f>IF(C168="Ultimate",15,IF(C168="Standard",10,IF(C168="Core",5,"")))</f>
        <v>15</v>
      </c>
      <c r="G168" s="8" t="s">
        <v>20</v>
      </c>
      <c r="H168" s="8" t="s">
        <v>19</v>
      </c>
      <c r="I168" s="11">
        <f>IF(Tabela1[[#This Row],[EA Play Season Pass]]="Yes",30,0)</f>
        <v>30</v>
      </c>
      <c r="J168" s="8" t="s">
        <v>19</v>
      </c>
      <c r="K168" s="11">
        <f>IF(Tabela1[[#This Row],[Minecraft Season Pass]]="Yes",20,0)</f>
        <v>20</v>
      </c>
      <c r="L168" s="11">
        <v>20</v>
      </c>
      <c r="M168" s="16">
        <f>SUM(F168,I168,K168-Tabela1[[#This Row],[Coupon Value]])</f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f>IF(C171="Ultimate",15,IF(C171="Standard",10,IF(C171="Core",5,"")))</f>
        <v>15</v>
      </c>
      <c r="G171" s="8" t="s">
        <v>24</v>
      </c>
      <c r="H171" s="8" t="s">
        <v>19</v>
      </c>
      <c r="I171" s="11">
        <f>IF(Tabela1[[#This Row],[EA Play Season Pass]]="Yes",30,0)</f>
        <v>30</v>
      </c>
      <c r="J171" s="8" t="s">
        <v>19</v>
      </c>
      <c r="K171" s="11">
        <f>IF(Tabela1[[#This Row],[Minecraft Season Pass]]="Yes",20,0)</f>
        <v>20</v>
      </c>
      <c r="L171" s="11">
        <v>5</v>
      </c>
      <c r="M171" s="16">
        <f>SUM(F171,I171,K171-Tabela1[[#This Row],[Coupon Value]])</f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22</v>
      </c>
      <c r="D174" s="10">
        <v>45520</v>
      </c>
      <c r="E174" s="8" t="s">
        <v>23</v>
      </c>
      <c r="F174" s="11">
        <f>IF(C174="Ultimate",15,IF(C174="Standard",10,IF(C174="Core",5,"")))</f>
        <v>5</v>
      </c>
      <c r="G174" s="8" t="s">
        <v>20</v>
      </c>
      <c r="H174" s="8" t="s">
        <v>19</v>
      </c>
      <c r="I174" s="11">
        <f>IF(Tabela1[[#This Row],[EA Play Season Pass]]="Yes",30,0)</f>
        <v>30</v>
      </c>
      <c r="J174" s="8" t="s">
        <v>19</v>
      </c>
      <c r="K174" s="11">
        <f>IF(Tabela1[[#This Row],[Minecraft Season Pass]]="Yes",20,0)</f>
        <v>20</v>
      </c>
      <c r="L174" s="11">
        <v>3</v>
      </c>
      <c r="M174" s="16">
        <f>SUM(F174,I174,K174-Tabela1[[#This Row],[Coupon Value]])</f>
        <v>52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f>IF(C178="Ultimate",15,IF(C178="Standard",10,IF(C178="Core",5,"")))</f>
        <v>15</v>
      </c>
      <c r="G178" s="8" t="s">
        <v>27</v>
      </c>
      <c r="H178" s="8" t="s">
        <v>19</v>
      </c>
      <c r="I178" s="11">
        <f>IF(Tabela1[[#This Row],[EA Play Season Pass]]="Yes",30,0)</f>
        <v>30</v>
      </c>
      <c r="J178" s="8" t="s">
        <v>19</v>
      </c>
      <c r="K178" s="11">
        <f>IF(Tabela1[[#This Row],[Minecraft Season Pass]]="Yes",20,0)</f>
        <v>20</v>
      </c>
      <c r="L178" s="11">
        <v>7</v>
      </c>
      <c r="M178" s="16">
        <f>SUM(F178,I178,K178-Tabela1[[#This Row],[Coupon Value]])</f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f>IF(C181="Ultimate",15,IF(C181="Standard",10,IF(C181="Core",5,"")))</f>
        <v>15</v>
      </c>
      <c r="G181" s="8" t="s">
        <v>20</v>
      </c>
      <c r="H181" s="8" t="s">
        <v>23</v>
      </c>
      <c r="I181" s="11">
        <f>IF(Tabela1[[#This Row],[EA Play Season Pass]]="Yes",30,0)</f>
        <v>0</v>
      </c>
      <c r="J181" s="8" t="s">
        <v>19</v>
      </c>
      <c r="K181" s="11">
        <f>IF(Tabela1[[#This Row],[Minecraft Season Pass]]="Yes",20,0)</f>
        <v>20</v>
      </c>
      <c r="L181" s="11">
        <v>15</v>
      </c>
      <c r="M181" s="16">
        <f>SUM(F181,I181,K181-Tabela1[[#This Row],[Coupon Value]])</f>
        <v>20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f>IF(C184="Ultimate",15,IF(C184="Standard",10,IF(C184="Core",5,"")))</f>
        <v>15</v>
      </c>
      <c r="G184" s="8" t="s">
        <v>27</v>
      </c>
      <c r="H184" s="8" t="s">
        <v>23</v>
      </c>
      <c r="I184" s="11">
        <f>IF(Tabela1[[#This Row],[EA Play Season Pass]]="Yes",30,0)</f>
        <v>0</v>
      </c>
      <c r="J184" s="8" t="s">
        <v>19</v>
      </c>
      <c r="K184" s="11">
        <f>IF(Tabela1[[#This Row],[Minecraft Season Pass]]="Yes",20,0)</f>
        <v>20</v>
      </c>
      <c r="L184" s="11">
        <v>20</v>
      </c>
      <c r="M184" s="16">
        <f>SUM(F184,I184,K184-Tabela1[[#This Row],[Coupon Value]])</f>
        <v>15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26</v>
      </c>
      <c r="D187" s="10">
        <v>45533</v>
      </c>
      <c r="E187" s="8" t="s">
        <v>19</v>
      </c>
      <c r="F187" s="11">
        <f>IF(C187="Ultimate",15,IF(C187="Standard",10,IF(C187="Core",5,"")))</f>
        <v>10</v>
      </c>
      <c r="G187" s="8" t="s">
        <v>24</v>
      </c>
      <c r="H187" s="8" t="s">
        <v>23</v>
      </c>
      <c r="I187" s="11">
        <f>IF(Tabela1[[#This Row],[EA Play Season Pass]]="Yes",30,0)</f>
        <v>0</v>
      </c>
      <c r="J187" s="8" t="s">
        <v>19</v>
      </c>
      <c r="K187" s="11">
        <f>IF(Tabela1[[#This Row],[Minecraft Season Pass]]="Yes",20,0)</f>
        <v>20</v>
      </c>
      <c r="L187" s="11">
        <v>5</v>
      </c>
      <c r="M187" s="16">
        <f>SUM(F187,I187,K187-Tabela1[[#This Row],[Coupon Value]])</f>
        <v>25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26</v>
      </c>
      <c r="D190" s="10">
        <v>45536</v>
      </c>
      <c r="E190" s="8" t="s">
        <v>23</v>
      </c>
      <c r="F190" s="11">
        <f>IF(C190="Ultimate",15,IF(C190="Standard",10,IF(C190="Core",5,"")))</f>
        <v>10</v>
      </c>
      <c r="G190" s="8" t="s">
        <v>20</v>
      </c>
      <c r="H190" s="8" t="s">
        <v>23</v>
      </c>
      <c r="I190" s="11">
        <f>IF(Tabela1[[#This Row],[EA Play Season Pass]]="Yes",30,0)</f>
        <v>0</v>
      </c>
      <c r="J190" s="8" t="s">
        <v>19</v>
      </c>
      <c r="K190" s="11">
        <f>IF(Tabela1[[#This Row],[Minecraft Season Pass]]="Yes",20,0)</f>
        <v>20</v>
      </c>
      <c r="L190" s="11">
        <v>3</v>
      </c>
      <c r="M190" s="16">
        <f>SUM(F190,I190,K190-Tabela1[[#This Row],[Coupon Value]])</f>
        <v>27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26</v>
      </c>
      <c r="D193" s="10">
        <v>45539</v>
      </c>
      <c r="E193" s="8" t="s">
        <v>19</v>
      </c>
      <c r="F193" s="11">
        <f>IF(C193="Ultimate",15,IF(C193="Standard",10,IF(C193="Core",5,"")))</f>
        <v>10</v>
      </c>
      <c r="G193" s="8" t="s">
        <v>27</v>
      </c>
      <c r="H193" s="8" t="s">
        <v>23</v>
      </c>
      <c r="I193" s="11">
        <f>IF(Tabela1[[#This Row],[EA Play Season Pass]]="Yes",30,0)</f>
        <v>0</v>
      </c>
      <c r="J193" s="8" t="s">
        <v>19</v>
      </c>
      <c r="K193" s="11">
        <f>IF(Tabela1[[#This Row],[Minecraft Season Pass]]="Yes",20,0)</f>
        <v>20</v>
      </c>
      <c r="L193" s="11">
        <v>7</v>
      </c>
      <c r="M193" s="16">
        <f>SUM(F193,I193,K193-Tabela1[[#This Row],[Coupon Value]])</f>
        <v>23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22</v>
      </c>
      <c r="D196" s="10">
        <v>45542</v>
      </c>
      <c r="E196" s="8" t="s">
        <v>23</v>
      </c>
      <c r="F196" s="11">
        <f>IF(C196="Ultimate",15,IF(C196="Standard",10,IF(C196="Core",5,"")))</f>
        <v>5</v>
      </c>
      <c r="G196" s="8" t="s">
        <v>20</v>
      </c>
      <c r="H196" s="8" t="s">
        <v>23</v>
      </c>
      <c r="I196" s="11">
        <f>IF(Tabela1[[#This Row],[EA Play Season Pass]]="Yes",30,0)</f>
        <v>0</v>
      </c>
      <c r="J196" s="8" t="s">
        <v>19</v>
      </c>
      <c r="K196" s="11">
        <f>IF(Tabela1[[#This Row],[Minecraft Season Pass]]="Yes",20,0)</f>
        <v>20</v>
      </c>
      <c r="L196" s="11">
        <v>20</v>
      </c>
      <c r="M196" s="16">
        <f>SUM(F196,I196,K196-Tabela1[[#This Row],[Coupon Value]])</f>
        <v>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f>IF(C199="Ultimate",15,IF(C199="Standard",10,IF(C199="Core",5,"")))</f>
        <v>15</v>
      </c>
      <c r="G199" s="8" t="s">
        <v>24</v>
      </c>
      <c r="H199" s="8" t="s">
        <v>23</v>
      </c>
      <c r="I199" s="11">
        <f>IF(Tabela1[[#This Row],[EA Play Season Pass]]="Yes",30,0)</f>
        <v>0</v>
      </c>
      <c r="J199" s="8" t="s">
        <v>19</v>
      </c>
      <c r="K199" s="11">
        <f>IF(Tabela1[[#This Row],[Minecraft Season Pass]]="Yes",20,0)</f>
        <v>20</v>
      </c>
      <c r="L199" s="11">
        <v>3</v>
      </c>
      <c r="M199" s="16">
        <f>SUM(F199,I199,K199-Tabela1[[#This Row],[Coupon Value]])</f>
        <v>32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f>IF(C202="Ultimate",15,IF(C202="Standard",10,IF(C202="Core",5,"")))</f>
        <v>15</v>
      </c>
      <c r="G202" s="8" t="s">
        <v>20</v>
      </c>
      <c r="H202" s="8" t="s">
        <v>23</v>
      </c>
      <c r="I202" s="11">
        <f>IF(Tabela1[[#This Row],[EA Play Season Pass]]="Yes",30,0)</f>
        <v>0</v>
      </c>
      <c r="J202" s="8" t="s">
        <v>19</v>
      </c>
      <c r="K202" s="11">
        <f>IF(Tabela1[[#This Row],[Minecraft Season Pass]]="Yes",20,0)</f>
        <v>20</v>
      </c>
      <c r="L202" s="11">
        <v>15</v>
      </c>
      <c r="M202" s="16">
        <f>SUM(F202,I202,K202-Tabela1[[#This Row],[Coupon Value]])</f>
        <v>20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f>IF(C205="Ultimate",15,IF(C205="Standard",10,IF(C205="Core",5,"")))</f>
        <v>15</v>
      </c>
      <c r="G205" s="8" t="s">
        <v>27</v>
      </c>
      <c r="H205" s="8" t="s">
        <v>23</v>
      </c>
      <c r="I205" s="11">
        <f>IF(Tabela1[[#This Row],[EA Play Season Pass]]="Yes",30,0)</f>
        <v>0</v>
      </c>
      <c r="J205" s="8" t="s">
        <v>19</v>
      </c>
      <c r="K205" s="11">
        <f>IF(Tabela1[[#This Row],[Minecraft Season Pass]]="Yes",20,0)</f>
        <v>20</v>
      </c>
      <c r="L205" s="11">
        <v>7</v>
      </c>
      <c r="M205" s="16">
        <f>SUM(F205,I205,K205-Tabela1[[#This Row],[Coupon Value]])</f>
        <v>28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f>IF(C208="Ultimate",15,IF(C208="Standard",10,IF(C208="Core",5,"")))</f>
        <v>15</v>
      </c>
      <c r="G208" s="8" t="s">
        <v>27</v>
      </c>
      <c r="H208" s="8" t="s">
        <v>23</v>
      </c>
      <c r="I208" s="11">
        <f>IF(Tabela1[[#This Row],[EA Play Season Pass]]="Yes",30,0)</f>
        <v>0</v>
      </c>
      <c r="J208" s="8" t="s">
        <v>19</v>
      </c>
      <c r="K208" s="11">
        <f>IF(Tabela1[[#This Row],[Minecraft Season Pass]]="Yes",20,0)</f>
        <v>20</v>
      </c>
      <c r="L208" s="11">
        <v>7</v>
      </c>
      <c r="M208" s="16">
        <f>SUM(F208,I208,K208-Tabela1[[#This Row],[Coupon Value]])</f>
        <v>28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f>IF(C211="Ultimate",15,IF(C211="Standard",10,IF(C211="Core",5,"")))</f>
        <v>15</v>
      </c>
      <c r="G211" s="8" t="s">
        <v>20</v>
      </c>
      <c r="H211" s="8" t="s">
        <v>19</v>
      </c>
      <c r="I211" s="11">
        <f>IF(Tabela1[[#This Row],[EA Play Season Pass]]="Yes",30,0)</f>
        <v>30</v>
      </c>
      <c r="J211" s="8" t="s">
        <v>19</v>
      </c>
      <c r="K211" s="11">
        <f>IF(Tabela1[[#This Row],[Minecraft Season Pass]]="Yes",20,0)</f>
        <v>20</v>
      </c>
      <c r="L211" s="11">
        <v>15</v>
      </c>
      <c r="M211" s="16">
        <f>SUM(F211,I211,K211-Tabela1[[#This Row],[Coupon Value]])</f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22</v>
      </c>
      <c r="D214" s="10">
        <v>45560</v>
      </c>
      <c r="E214" s="8" t="s">
        <v>23</v>
      </c>
      <c r="F214" s="11">
        <f>IF(C214="Ultimate",15,IF(C214="Standard",10,IF(C214="Core",5,"")))</f>
        <v>5</v>
      </c>
      <c r="G214" s="8" t="s">
        <v>27</v>
      </c>
      <c r="H214" s="8" t="s">
        <v>19</v>
      </c>
      <c r="I214" s="11">
        <f>IF(Tabela1[[#This Row],[EA Play Season Pass]]="Yes",30,0)</f>
        <v>30</v>
      </c>
      <c r="J214" s="8" t="s">
        <v>19</v>
      </c>
      <c r="K214" s="11">
        <f>IF(Tabela1[[#This Row],[Minecraft Season Pass]]="Yes",20,0)</f>
        <v>20</v>
      </c>
      <c r="L214" s="11">
        <v>20</v>
      </c>
      <c r="M214" s="16">
        <f>SUM(F214,I214,K214-Tabela1[[#This Row],[Coupon Value]])</f>
        <v>35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f>IF(C217="Ultimate",15,IF(C217="Standard",10,IF(C217="Core",5,"")))</f>
        <v>15</v>
      </c>
      <c r="G217" s="8" t="s">
        <v>24</v>
      </c>
      <c r="H217" s="8" t="s">
        <v>19</v>
      </c>
      <c r="I217" s="11">
        <f>IF(Tabela1[[#This Row],[EA Play Season Pass]]="Yes",30,0)</f>
        <v>30</v>
      </c>
      <c r="J217" s="8" t="s">
        <v>19</v>
      </c>
      <c r="K217" s="11">
        <f>IF(Tabela1[[#This Row],[Minecraft Season Pass]]="Yes",20,0)</f>
        <v>20</v>
      </c>
      <c r="L217" s="11">
        <v>5</v>
      </c>
      <c r="M217" s="16">
        <f>SUM(F217,I217,K217-Tabela1[[#This Row],[Coupon Value]])</f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f>IF(C220="Ultimate",15,IF(C220="Standard",10,IF(C220="Core",5,"")))</f>
        <v>15</v>
      </c>
      <c r="G220" s="8" t="s">
        <v>20</v>
      </c>
      <c r="H220" s="8" t="s">
        <v>19</v>
      </c>
      <c r="I220" s="11">
        <f>IF(Tabela1[[#This Row],[EA Play Season Pass]]="Yes",30,0)</f>
        <v>30</v>
      </c>
      <c r="J220" s="8" t="s">
        <v>19</v>
      </c>
      <c r="K220" s="11">
        <f>IF(Tabela1[[#This Row],[Minecraft Season Pass]]="Yes",20,0)</f>
        <v>20</v>
      </c>
      <c r="L220" s="11">
        <v>3</v>
      </c>
      <c r="M220" s="16">
        <f>SUM(F220,I220,K220-Tabela1[[#This Row],[Coupon Value]])</f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f>IF(C223="Ultimate",15,IF(C223="Standard",10,IF(C223="Core",5,"")))</f>
        <v>15</v>
      </c>
      <c r="G223" s="8" t="s">
        <v>27</v>
      </c>
      <c r="H223" s="8" t="s">
        <v>19</v>
      </c>
      <c r="I223" s="11">
        <f>IF(Tabela1[[#This Row],[EA Play Season Pass]]="Yes",30,0)</f>
        <v>30</v>
      </c>
      <c r="J223" s="8" t="s">
        <v>23</v>
      </c>
      <c r="K223" s="11">
        <f>IF(Tabela1[[#This Row],[Minecraft Season Pass]]="Yes",20,0)</f>
        <v>0</v>
      </c>
      <c r="L223" s="11">
        <v>7</v>
      </c>
      <c r="M223" s="16">
        <f>SUM(F223,I223,K223-Tabela1[[#This Row],[Coupon Value]])</f>
        <v>38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f>IF(C226="Ultimate",15,IF(C226="Standard",10,IF(C226="Core",5,"")))</f>
        <v>15</v>
      </c>
      <c r="G226" s="8" t="s">
        <v>20</v>
      </c>
      <c r="H226" s="8" t="s">
        <v>19</v>
      </c>
      <c r="I226" s="11">
        <f>IF(Tabela1[[#This Row],[EA Play Season Pass]]="Yes",30,0)</f>
        <v>30</v>
      </c>
      <c r="J226" s="8" t="s">
        <v>23</v>
      </c>
      <c r="K226" s="11">
        <f>IF(Tabela1[[#This Row],[Minecraft Season Pass]]="Yes",20,0)</f>
        <v>0</v>
      </c>
      <c r="L226" s="11">
        <v>20</v>
      </c>
      <c r="M226" s="16">
        <f>SUM(F226,I226,K226-Tabela1[[#This Row],[Coupon Value]])</f>
        <v>25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22</v>
      </c>
      <c r="D229" s="10">
        <v>45575</v>
      </c>
      <c r="E229" s="8" t="s">
        <v>19</v>
      </c>
      <c r="F229" s="11">
        <f>IF(C229="Ultimate",15,IF(C229="Standard",10,IF(C229="Core",5,"")))</f>
        <v>5</v>
      </c>
      <c r="G229" s="8" t="s">
        <v>24</v>
      </c>
      <c r="H229" s="8" t="s">
        <v>19</v>
      </c>
      <c r="I229" s="11">
        <f>IF(Tabela1[[#This Row],[EA Play Season Pass]]="Yes",30,0)</f>
        <v>30</v>
      </c>
      <c r="J229" s="8" t="s">
        <v>23</v>
      </c>
      <c r="K229" s="11">
        <f>IF(Tabela1[[#This Row],[Minecraft Season Pass]]="Yes",20,0)</f>
        <v>0</v>
      </c>
      <c r="L229" s="11">
        <v>3</v>
      </c>
      <c r="M229" s="16">
        <f>SUM(F229,I229,K229-Tabela1[[#This Row],[Coupon Value]])</f>
        <v>32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f>IF(C232="Ultimate",15,IF(C232="Standard",10,IF(C232="Core",5,"")))</f>
        <v>15</v>
      </c>
      <c r="G232" s="8" t="s">
        <v>20</v>
      </c>
      <c r="H232" s="8" t="s">
        <v>19</v>
      </c>
      <c r="I232" s="11">
        <f>IF(Tabela1[[#This Row],[EA Play Season Pass]]="Yes",30,0)</f>
        <v>30</v>
      </c>
      <c r="J232" s="8" t="s">
        <v>23</v>
      </c>
      <c r="K232" s="11">
        <f>IF(Tabela1[[#This Row],[Minecraft Season Pass]]="Yes",20,0)</f>
        <v>0</v>
      </c>
      <c r="L232" s="11">
        <v>15</v>
      </c>
      <c r="M232" s="16">
        <f>SUM(F232,I232,K232-Tabela1[[#This Row],[Coupon Value]])</f>
        <v>30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f>IF(C235="Ultimate",15,IF(C235="Standard",10,IF(C235="Core",5,"")))</f>
        <v>15</v>
      </c>
      <c r="G235" s="8" t="s">
        <v>27</v>
      </c>
      <c r="H235" s="8" t="s">
        <v>19</v>
      </c>
      <c r="I235" s="11">
        <f>IF(Tabela1[[#This Row],[EA Play Season Pass]]="Yes",30,0)</f>
        <v>30</v>
      </c>
      <c r="J235" s="8" t="s">
        <v>23</v>
      </c>
      <c r="K235" s="11">
        <f>IF(Tabela1[[#This Row],[Minecraft Season Pass]]="Yes",20,0)</f>
        <v>0</v>
      </c>
      <c r="L235" s="11">
        <v>7</v>
      </c>
      <c r="M235" s="16">
        <f>SUM(F235,I235,K235-Tabela1[[#This Row],[Coupon Value]])</f>
        <v>38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26</v>
      </c>
      <c r="D238" s="10">
        <v>45584</v>
      </c>
      <c r="E238" s="8" t="s">
        <v>23</v>
      </c>
      <c r="F238" s="11">
        <f>IF(C238="Ultimate",15,IF(C238="Standard",10,IF(C238="Core",5,"")))</f>
        <v>10</v>
      </c>
      <c r="G238" s="8" t="s">
        <v>20</v>
      </c>
      <c r="H238" s="8" t="s">
        <v>19</v>
      </c>
      <c r="I238" s="11">
        <f>IF(Tabela1[[#This Row],[EA Play Season Pass]]="Yes",30,0)</f>
        <v>30</v>
      </c>
      <c r="J238" s="8" t="s">
        <v>23</v>
      </c>
      <c r="K238" s="11">
        <f>IF(Tabela1[[#This Row],[Minecraft Season Pass]]="Yes",20,0)</f>
        <v>0</v>
      </c>
      <c r="L238" s="11">
        <v>15</v>
      </c>
      <c r="M238" s="16">
        <f>SUM(F238,I238,K238-Tabela1[[#This Row],[Coupon Value]])</f>
        <v>25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26</v>
      </c>
      <c r="D241" s="10">
        <v>45587</v>
      </c>
      <c r="E241" s="8" t="s">
        <v>19</v>
      </c>
      <c r="F241" s="11">
        <f>IF(C241="Ultimate",15,IF(C241="Standard",10,IF(C241="Core",5,"")))</f>
        <v>10</v>
      </c>
      <c r="G241" s="8" t="s">
        <v>24</v>
      </c>
      <c r="H241" s="8" t="s">
        <v>19</v>
      </c>
      <c r="I241" s="11">
        <f>IF(Tabela1[[#This Row],[EA Play Season Pass]]="Yes",30,0)</f>
        <v>30</v>
      </c>
      <c r="J241" s="8" t="s">
        <v>23</v>
      </c>
      <c r="K241" s="11">
        <f>IF(Tabela1[[#This Row],[Minecraft Season Pass]]="Yes",20,0)</f>
        <v>0</v>
      </c>
      <c r="L241" s="11">
        <v>5</v>
      </c>
      <c r="M241" s="16">
        <f>SUM(F241,I241,K241-Tabela1[[#This Row],[Coupon Value]])</f>
        <v>35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26</v>
      </c>
      <c r="D244" s="10">
        <v>45590</v>
      </c>
      <c r="E244" s="8" t="s">
        <v>23</v>
      </c>
      <c r="F244" s="11">
        <f>IF(C244="Ultimate",15,IF(C244="Standard",10,IF(C244="Core",5,"")))</f>
        <v>10</v>
      </c>
      <c r="G244" s="8" t="s">
        <v>20</v>
      </c>
      <c r="H244" s="8" t="s">
        <v>19</v>
      </c>
      <c r="I244" s="11">
        <f>IF(Tabela1[[#This Row],[EA Play Season Pass]]="Yes",30,0)</f>
        <v>30</v>
      </c>
      <c r="J244" s="8" t="s">
        <v>23</v>
      </c>
      <c r="K244" s="11">
        <f>IF(Tabela1[[#This Row],[Minecraft Season Pass]]="Yes",20,0)</f>
        <v>0</v>
      </c>
      <c r="L244" s="11">
        <v>3</v>
      </c>
      <c r="M244" s="16">
        <f>SUM(F244,I244,K244-Tabela1[[#This Row],[Coupon Value]])</f>
        <v>37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26</v>
      </c>
      <c r="D247" s="10">
        <v>45593</v>
      </c>
      <c r="E247" s="8" t="s">
        <v>19</v>
      </c>
      <c r="F247" s="11">
        <f>IF(C247="Ultimate",15,IF(C247="Standard",10,IF(C247="Core",5,"")))</f>
        <v>10</v>
      </c>
      <c r="G247" s="8" t="s">
        <v>27</v>
      </c>
      <c r="H247" s="8" t="s">
        <v>19</v>
      </c>
      <c r="I247" s="11">
        <f>IF(Tabela1[[#This Row],[EA Play Season Pass]]="Yes",30,0)</f>
        <v>30</v>
      </c>
      <c r="J247" s="8" t="s">
        <v>19</v>
      </c>
      <c r="K247" s="11">
        <f>IF(Tabela1[[#This Row],[Minecraft Season Pass]]="Yes",20,0)</f>
        <v>20</v>
      </c>
      <c r="L247" s="11">
        <v>7</v>
      </c>
      <c r="M247" s="16">
        <f>SUM(F247,I247,K247-Tabela1[[#This Row],[Coupon Value]])</f>
        <v>53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f>IF(C250="Ultimate",15,IF(C250="Standard",10,IF(C250="Core",5,"")))</f>
        <v>15</v>
      </c>
      <c r="G250" s="8" t="s">
        <v>20</v>
      </c>
      <c r="H250" s="8" t="s">
        <v>23</v>
      </c>
      <c r="I250" s="11">
        <f>IF(Tabela1[[#This Row],[EA Play Season Pass]]="Yes",30,0)</f>
        <v>0</v>
      </c>
      <c r="J250" s="8" t="s">
        <v>19</v>
      </c>
      <c r="K250" s="11">
        <f>IF(Tabela1[[#This Row],[Minecraft Season Pass]]="Yes",20,0)</f>
        <v>20</v>
      </c>
      <c r="L250" s="11">
        <v>20</v>
      </c>
      <c r="M250" s="16">
        <f>SUM(F250,I250,K250-Tabela1[[#This Row],[Coupon Value]])</f>
        <v>15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f>IF(C253="Ultimate",15,IF(C253="Standard",10,IF(C253="Core",5,"")))</f>
        <v>15</v>
      </c>
      <c r="G253" s="8" t="s">
        <v>24</v>
      </c>
      <c r="H253" s="8" t="s">
        <v>23</v>
      </c>
      <c r="I253" s="11">
        <f>IF(Tabela1[[#This Row],[EA Play Season Pass]]="Yes",30,0)</f>
        <v>0</v>
      </c>
      <c r="J253" s="8" t="s">
        <v>19</v>
      </c>
      <c r="K253" s="11">
        <f>IF(Tabela1[[#This Row],[Minecraft Season Pass]]="Yes",20,0)</f>
        <v>20</v>
      </c>
      <c r="L253" s="11">
        <v>3</v>
      </c>
      <c r="M253" s="16">
        <f>SUM(F253,I253,K253-Tabela1[[#This Row],[Coupon Value]])</f>
        <v>32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22</v>
      </c>
      <c r="D256" s="10">
        <v>45602</v>
      </c>
      <c r="E256" s="8" t="s">
        <v>23</v>
      </c>
      <c r="F256" s="11">
        <f>IF(C256="Ultimate",15,IF(C256="Standard",10,IF(C256="Core",5,"")))</f>
        <v>5</v>
      </c>
      <c r="G256" s="8" t="s">
        <v>20</v>
      </c>
      <c r="H256" s="8" t="s">
        <v>23</v>
      </c>
      <c r="I256" s="11">
        <f>IF(Tabela1[[#This Row],[EA Play Season Pass]]="Yes",30,0)</f>
        <v>0</v>
      </c>
      <c r="J256" s="8" t="s">
        <v>19</v>
      </c>
      <c r="K256" s="11">
        <f>IF(Tabela1[[#This Row],[Minecraft Season Pass]]="Yes",20,0)</f>
        <v>20</v>
      </c>
      <c r="L256" s="11">
        <v>15</v>
      </c>
      <c r="M256" s="16">
        <f>SUM(F256,I256,K256-Tabela1[[#This Row],[Coupon Value]])</f>
        <v>10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22</v>
      </c>
      <c r="D258" s="10">
        <v>45604</v>
      </c>
      <c r="E258" s="8" t="s">
        <v>23</v>
      </c>
      <c r="F258" s="11">
        <f>IF(C258="Ultimate",15,IF(C258="Standard",10,IF(C258="Core",5,"")))</f>
        <v>5</v>
      </c>
      <c r="G258" s="8" t="s">
        <v>27</v>
      </c>
      <c r="H258" s="8" t="s">
        <v>23</v>
      </c>
      <c r="I258" s="11">
        <f>IF(Tabela1[[#This Row],[EA Play Season Pass]]="Yes",30,0)</f>
        <v>0</v>
      </c>
      <c r="J258" s="8" t="s">
        <v>19</v>
      </c>
      <c r="K258" s="11">
        <f>IF(Tabela1[[#This Row],[Minecraft Season Pass]]="Yes",20,0)</f>
        <v>20</v>
      </c>
      <c r="L258" s="11">
        <v>7</v>
      </c>
      <c r="M258" s="16">
        <f>SUM(F258,I258,K258-Tabela1[[#This Row],[Coupon Value]])</f>
        <v>18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f>IF(C261="Ultimate",15,IF(C261="Standard",10,IF(C261="Core",5,"")))</f>
        <v>15</v>
      </c>
      <c r="G261" s="8" t="s">
        <v>20</v>
      </c>
      <c r="H261" s="8" t="s">
        <v>23</v>
      </c>
      <c r="I261" s="11">
        <f>IF(Tabela1[[#This Row],[EA Play Season Pass]]="Yes",30,0)</f>
        <v>0</v>
      </c>
      <c r="J261" s="8" t="s">
        <v>19</v>
      </c>
      <c r="K261" s="11">
        <f>IF(Tabela1[[#This Row],[Minecraft Season Pass]]="Yes",20,0)</f>
        <v>20</v>
      </c>
      <c r="L261" s="11">
        <v>15</v>
      </c>
      <c r="M261" s="16">
        <f>SUM(F261,I261,K261-Tabela1[[#This Row],[Coupon Value]])</f>
        <v>20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f>IF(C264="Ultimate",15,IF(C264="Standard",10,IF(C264="Core",5,"")))</f>
        <v>15</v>
      </c>
      <c r="G264" s="8" t="s">
        <v>27</v>
      </c>
      <c r="H264" s="8" t="s">
        <v>23</v>
      </c>
      <c r="I264" s="11">
        <f>IF(Tabela1[[#This Row],[EA Play Season Pass]]="Yes",30,0)</f>
        <v>0</v>
      </c>
      <c r="J264" s="8" t="s">
        <v>19</v>
      </c>
      <c r="K264" s="11">
        <f>IF(Tabela1[[#This Row],[Minecraft Season Pass]]="Yes",20,0)</f>
        <v>20</v>
      </c>
      <c r="L264" s="11">
        <v>20</v>
      </c>
      <c r="M264" s="16">
        <f>SUM(F264,I264,K264-Tabela1[[#This Row],[Coupon Value]])</f>
        <v>15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f>IF(C267="Ultimate",15,IF(C267="Standard",10,IF(C267="Core",5,"")))</f>
        <v>15</v>
      </c>
      <c r="G267" s="8" t="s">
        <v>24</v>
      </c>
      <c r="H267" s="8" t="s">
        <v>23</v>
      </c>
      <c r="I267" s="11">
        <f>IF(Tabela1[[#This Row],[EA Play Season Pass]]="Yes",30,0)</f>
        <v>0</v>
      </c>
      <c r="J267" s="8" t="s">
        <v>19</v>
      </c>
      <c r="K267" s="11">
        <f>IF(Tabela1[[#This Row],[Minecraft Season Pass]]="Yes",20,0)</f>
        <v>20</v>
      </c>
      <c r="L267" s="11">
        <v>5</v>
      </c>
      <c r="M267" s="16">
        <f>SUM(F267,I267,K267-Tabela1[[#This Row],[Coupon Value]])</f>
        <v>30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22</v>
      </c>
      <c r="D270" s="10">
        <v>45616</v>
      </c>
      <c r="E270" s="8" t="s">
        <v>23</v>
      </c>
      <c r="F270" s="11">
        <f>IF(C270="Ultimate",15,IF(C270="Standard",10,IF(C270="Core",5,"")))</f>
        <v>5</v>
      </c>
      <c r="G270" s="8" t="s">
        <v>20</v>
      </c>
      <c r="H270" s="8" t="s">
        <v>23</v>
      </c>
      <c r="I270" s="11">
        <f>IF(Tabela1[[#This Row],[EA Play Season Pass]]="Yes",30,0)</f>
        <v>0</v>
      </c>
      <c r="J270" s="8" t="s">
        <v>19</v>
      </c>
      <c r="K270" s="11">
        <f>IF(Tabela1[[#This Row],[Minecraft Season Pass]]="Yes",20,0)</f>
        <v>20</v>
      </c>
      <c r="L270" s="11">
        <v>3</v>
      </c>
      <c r="M270" s="16">
        <f>SUM(F270,I270,K270-Tabela1[[#This Row],[Coupon Value]])</f>
        <v>22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f>IF(C273="Ultimate",15,IF(C273="Standard",10,IF(C273="Core",5,"")))</f>
        <v>15</v>
      </c>
      <c r="G273" s="8" t="s">
        <v>27</v>
      </c>
      <c r="H273" s="8" t="s">
        <v>23</v>
      </c>
      <c r="I273" s="11">
        <f>IF(Tabela1[[#This Row],[EA Play Season Pass]]="Yes",30,0)</f>
        <v>0</v>
      </c>
      <c r="J273" s="8" t="s">
        <v>19</v>
      </c>
      <c r="K273" s="11">
        <f>IF(Tabela1[[#This Row],[Minecraft Season Pass]]="Yes",20,0)</f>
        <v>20</v>
      </c>
      <c r="L273" s="11">
        <v>7</v>
      </c>
      <c r="M273" s="16">
        <f>SUM(F273,I273,K273-Tabela1[[#This Row],[Coupon Value]])</f>
        <v>28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f>IF(C276="Ultimate",15,IF(C276="Standard",10,IF(C276="Core",5,"")))</f>
        <v>15</v>
      </c>
      <c r="G276" s="8" t="s">
        <v>20</v>
      </c>
      <c r="H276" s="8" t="s">
        <v>23</v>
      </c>
      <c r="I276" s="11">
        <f>IF(Tabela1[[#This Row],[EA Play Season Pass]]="Yes",30,0)</f>
        <v>0</v>
      </c>
      <c r="J276" s="8" t="s">
        <v>19</v>
      </c>
      <c r="K276" s="11">
        <f>IF(Tabela1[[#This Row],[Minecraft Season Pass]]="Yes",20,0)</f>
        <v>20</v>
      </c>
      <c r="L276" s="11">
        <v>20</v>
      </c>
      <c r="M276" s="16">
        <f>SUM(F276,I276,K276-Tabela1[[#This Row],[Coupon Value]])</f>
        <v>15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f>IF(C279="Ultimate",15,IF(C279="Standard",10,IF(C279="Core",5,"")))</f>
        <v>15</v>
      </c>
      <c r="G279" s="8" t="s">
        <v>24</v>
      </c>
      <c r="H279" s="8" t="s">
        <v>19</v>
      </c>
      <c r="I279" s="11">
        <f>IF(Tabela1[[#This Row],[EA Play Season Pass]]="Yes",30,0)</f>
        <v>30</v>
      </c>
      <c r="J279" s="8" t="s">
        <v>19</v>
      </c>
      <c r="K279" s="11">
        <f>IF(Tabela1[[#This Row],[Minecraft Season Pass]]="Yes",20,0)</f>
        <v>20</v>
      </c>
      <c r="L279" s="11">
        <v>3</v>
      </c>
      <c r="M279" s="16">
        <f>SUM(F279,I279,K279-Tabela1[[#This Row],[Coupon Value]])</f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22</v>
      </c>
      <c r="D282" s="10">
        <v>45628</v>
      </c>
      <c r="E282" s="8" t="s">
        <v>23</v>
      </c>
      <c r="F282" s="11">
        <f>IF(C282="Ultimate",15,IF(C282="Standard",10,IF(C282="Core",5,"")))</f>
        <v>5</v>
      </c>
      <c r="G282" s="8" t="s">
        <v>20</v>
      </c>
      <c r="H282" s="8" t="s">
        <v>19</v>
      </c>
      <c r="I282" s="11">
        <f>IF(Tabela1[[#This Row],[EA Play Season Pass]]="Yes",30,0)</f>
        <v>30</v>
      </c>
      <c r="J282" s="8" t="s">
        <v>23</v>
      </c>
      <c r="K282" s="11">
        <f>IF(Tabela1[[#This Row],[Minecraft Season Pass]]="Yes",20,0)</f>
        <v>0</v>
      </c>
      <c r="L282" s="11">
        <v>15</v>
      </c>
      <c r="M282" s="16">
        <f>SUM(F282,I282,K282-Tabela1[[#This Row],[Coupon Value]])</f>
        <v>20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f>IF(C285="Ultimate",15,IF(C285="Standard",10,IF(C285="Core",5,"")))</f>
        <v>15</v>
      </c>
      <c r="G285" s="8" t="s">
        <v>27</v>
      </c>
      <c r="H285" s="8" t="s">
        <v>19</v>
      </c>
      <c r="I285" s="11">
        <f>IF(Tabela1[[#This Row],[EA Play Season Pass]]="Yes",30,0)</f>
        <v>30</v>
      </c>
      <c r="J285" s="8" t="s">
        <v>23</v>
      </c>
      <c r="K285" s="11">
        <f>IF(Tabela1[[#This Row],[Minecraft Season Pass]]="Yes",20,0)</f>
        <v>0</v>
      </c>
      <c r="L285" s="11">
        <v>7</v>
      </c>
      <c r="M285" s="16">
        <f>SUM(F285,I285,K285-Tabela1[[#This Row],[Coupon Value]])</f>
        <v>38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22</v>
      </c>
      <c r="D288" s="10">
        <v>45634</v>
      </c>
      <c r="E288" s="8" t="s">
        <v>23</v>
      </c>
      <c r="F288" s="11">
        <f>IF(C288="Ultimate",15,IF(C288="Standard",10,IF(C288="Core",5,"")))</f>
        <v>5</v>
      </c>
      <c r="G288" s="8" t="s">
        <v>20</v>
      </c>
      <c r="H288" s="8" t="s">
        <v>19</v>
      </c>
      <c r="I288" s="11">
        <f>IF(Tabela1[[#This Row],[EA Play Season Pass]]="Yes",30,0)</f>
        <v>30</v>
      </c>
      <c r="J288" s="8" t="s">
        <v>23</v>
      </c>
      <c r="K288" s="11">
        <f>IF(Tabela1[[#This Row],[Minecraft Season Pass]]="Yes",20,0)</f>
        <v>0</v>
      </c>
      <c r="L288" s="11">
        <v>20</v>
      </c>
      <c r="M288" s="16">
        <f>SUM(F288,I288,K288-Tabela1[[#This Row],[Coupon Value]])</f>
        <v>15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f>IF(C291="Ultimate",15,IF(C291="Standard",10,IF(C291="Core",5,"")))</f>
        <v>15</v>
      </c>
      <c r="G291" s="8" t="s">
        <v>24</v>
      </c>
      <c r="H291" s="8" t="s">
        <v>19</v>
      </c>
      <c r="I291" s="11">
        <f>IF(Tabela1[[#This Row],[EA Play Season Pass]]="Yes",30,0)</f>
        <v>30</v>
      </c>
      <c r="J291" s="8" t="s">
        <v>23</v>
      </c>
      <c r="K291" s="11">
        <f>IF(Tabela1[[#This Row],[Minecraft Season Pass]]="Yes",20,0)</f>
        <v>0</v>
      </c>
      <c r="L291" s="11">
        <v>5</v>
      </c>
      <c r="M291" s="16">
        <f>SUM(F291,I291,K291-Tabela1[[#This Row],[Coupon Value]])</f>
        <v>40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22</v>
      </c>
      <c r="D294" s="10">
        <v>45640</v>
      </c>
      <c r="E294" s="8" t="s">
        <v>23</v>
      </c>
      <c r="F294" s="11">
        <f>IF(C294="Ultimate",15,IF(C294="Standard",10,IF(C294="Core",5,"")))</f>
        <v>5</v>
      </c>
      <c r="G294" s="8" t="s">
        <v>20</v>
      </c>
      <c r="H294" s="8" t="s">
        <v>19</v>
      </c>
      <c r="I294" s="11">
        <f>IF(Tabela1[[#This Row],[EA Play Season Pass]]="Yes",30,0)</f>
        <v>30</v>
      </c>
      <c r="J294" s="8" t="s">
        <v>23</v>
      </c>
      <c r="K294" s="11">
        <f>IF(Tabela1[[#This Row],[Minecraft Season Pass]]="Yes",20,0)</f>
        <v>0</v>
      </c>
      <c r="L294" s="11">
        <v>3</v>
      </c>
      <c r="M294" s="16">
        <f>SUM(F294,I294,K294-Tabela1[[#This Row],[Coupon Value]])</f>
        <v>32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7" spans="1:13" hidden="1">
      <c r="A297" s="8"/>
      <c r="B297" s="8"/>
      <c r="C297" s="8"/>
      <c r="D297" s="8"/>
      <c r="E297" s="8"/>
      <c r="F297" s="11"/>
      <c r="G297" s="8"/>
      <c r="H297" s="8"/>
      <c r="I297" s="11"/>
      <c r="J297" s="8"/>
      <c r="K297" s="11"/>
      <c r="L297" s="11"/>
      <c r="M297" s="16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17"/>
  <sheetViews>
    <sheetView showGridLines="0" topLeftCell="C10" workbookViewId="0">
      <selection activeCell="G13" sqref="G13"/>
    </sheetView>
  </sheetViews>
  <sheetFormatPr defaultRowHeight="14.25"/>
  <cols>
    <col min="2" max="2" width="10.75" bestFit="1" customWidth="1"/>
    <col min="3" max="3" width="19.125" bestFit="1" customWidth="1"/>
    <col min="4" max="4" width="18" bestFit="1" customWidth="1"/>
    <col min="5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5">
      <c r="B2" t="s">
        <v>313</v>
      </c>
    </row>
    <row r="5" spans="2:5">
      <c r="B5" t="s">
        <v>322</v>
      </c>
    </row>
    <row r="6" spans="2:5">
      <c r="B6" t="s">
        <v>317</v>
      </c>
    </row>
    <row r="7" spans="2:5">
      <c r="B7" t="s">
        <v>318</v>
      </c>
    </row>
    <row r="8" spans="2:5">
      <c r="B8" t="s">
        <v>319</v>
      </c>
    </row>
    <row r="9" spans="2:5">
      <c r="B9" t="s">
        <v>320</v>
      </c>
    </row>
    <row r="10" spans="2:5">
      <c r="B10" t="s">
        <v>321</v>
      </c>
    </row>
    <row r="12" spans="2:5">
      <c r="D12" s="12" t="s">
        <v>15</v>
      </c>
      <c r="E12" t="s">
        <v>19</v>
      </c>
    </row>
    <row r="14" spans="2:5">
      <c r="B14" s="12" t="s">
        <v>12</v>
      </c>
      <c r="D14" s="12" t="s">
        <v>314</v>
      </c>
      <c r="E14" t="s">
        <v>316</v>
      </c>
    </row>
    <row r="15" spans="2:5">
      <c r="B15" s="13" t="s">
        <v>24</v>
      </c>
      <c r="D15" s="13" t="s">
        <v>24</v>
      </c>
      <c r="E15" s="14">
        <v>1162</v>
      </c>
    </row>
    <row r="16" spans="2:5">
      <c r="B16" s="13" t="s">
        <v>315</v>
      </c>
      <c r="D16" s="13" t="s">
        <v>27</v>
      </c>
      <c r="E16" s="14">
        <v>1257</v>
      </c>
    </row>
    <row r="17" spans="4:5">
      <c r="D17" s="13" t="s">
        <v>315</v>
      </c>
      <c r="E17" s="14">
        <v>2419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8"/>
  <sheetViews>
    <sheetView showGridLines="0" tabSelected="1" zoomScale="80" zoomScaleNormal="80" workbookViewId="0">
      <selection activeCell="D2" sqref="D2"/>
    </sheetView>
  </sheetViews>
  <sheetFormatPr defaultRowHeight="14.25"/>
  <cols>
    <col min="1" max="1" width="25.625" style="18" customWidth="1"/>
    <col min="2" max="2" width="3.625" style="7" customWidth="1"/>
    <col min="3" max="11" width="9" style="7"/>
    <col min="12" max="12" width="6.625" style="7" customWidth="1"/>
    <col min="13" max="16384" width="9" style="7"/>
  </cols>
  <sheetData>
    <row r="1" spans="1:1" customFormat="1" ht="20.25" customHeight="1">
      <c r="A1" s="18"/>
    </row>
    <row r="2" spans="1:1" customFormat="1" ht="20.25" customHeight="1">
      <c r="A2" s="18"/>
    </row>
    <row r="3" spans="1:1" customFormat="1" ht="21.75" customHeight="1">
      <c r="A3" s="18"/>
    </row>
    <row r="4" spans="1:1" ht="23.25" customHeight="1"/>
    <row r="5" spans="1:1" ht="21.75" customHeight="1"/>
    <row r="6" spans="1:1" ht="30" customHeight="1"/>
    <row r="7" spans="1:1" ht="25.5" customHeight="1"/>
    <row r="8" spans="1:1" ht="33" customHeight="1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 Prin3298</cp:lastModifiedBy>
  <dcterms:created xsi:type="dcterms:W3CDTF">2024-12-19T13:13:10Z</dcterms:created>
  <dcterms:modified xsi:type="dcterms:W3CDTF">2026-01-07T02:57:59Z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