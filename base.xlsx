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/>
  <mc:AlternateContent xmlns:mc="http://schemas.openxmlformats.org/markup-compatibility/2006">
    <mc:Choice Requires="x15">
      <x15ac:absPath xmlns:x15ac="http://schemas.microsoft.com/office/spreadsheetml/2010/11/ac" url="C:\GIT\Dashboard-vendas-xbox-excel\"/>
    </mc:Choice>
  </mc:AlternateContent>
  <xr:revisionPtr revIDLastSave="0" documentId="13_ncr:1_{842C0BC5-B299-4B80-A8E7-34DF05DBFA56}" xr6:coauthVersionLast="47" xr6:coauthVersionMax="47" xr10:uidLastSave="{00000000-0000-0000-0000-000000000000}"/>
  <bookViews>
    <workbookView xWindow="-120" yWindow="-120" windowWidth="20640" windowHeight="11160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Meses">#N/A</definedName>
    <definedName name="SegmentaçãodeDados_Subscription_Type">#N/A</definedName>
  </definedNames>
  <calcPr calcId="191029"/>
  <pivotCaches>
    <pivotCache cacheId="1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9" i="3" l="1"/>
  <c r="K294" i="2"/>
  <c r="K291" i="2"/>
  <c r="K288" i="2"/>
  <c r="K285" i="2"/>
  <c r="K282" i="2"/>
  <c r="K279" i="2"/>
  <c r="K276" i="2"/>
  <c r="K273" i="2"/>
  <c r="K270" i="2"/>
  <c r="K267" i="2"/>
  <c r="K264" i="2"/>
  <c r="K261" i="2"/>
  <c r="K258" i="2"/>
  <c r="K256" i="2"/>
  <c r="K253" i="2"/>
  <c r="K250" i="2"/>
  <c r="K247" i="2"/>
  <c r="K244" i="2"/>
  <c r="K241" i="2"/>
  <c r="K238" i="2"/>
  <c r="K235" i="2"/>
  <c r="K232" i="2"/>
  <c r="K229" i="2"/>
  <c r="K226" i="2"/>
  <c r="K223" i="2"/>
  <c r="K220" i="2"/>
  <c r="K217" i="2"/>
  <c r="K214" i="2"/>
  <c r="K211" i="2"/>
  <c r="K208" i="2"/>
  <c r="K205" i="2"/>
  <c r="K202" i="2"/>
  <c r="K199" i="2"/>
  <c r="K196" i="2"/>
  <c r="K193" i="2"/>
  <c r="K190" i="2"/>
  <c r="K187" i="2"/>
  <c r="K184" i="2"/>
  <c r="K181" i="2"/>
  <c r="K178" i="2"/>
  <c r="K174" i="2"/>
  <c r="K171" i="2"/>
  <c r="K168" i="2"/>
  <c r="K165" i="2"/>
  <c r="K162" i="2"/>
  <c r="K159" i="2"/>
  <c r="K156" i="2"/>
  <c r="K153" i="2"/>
  <c r="K150" i="2"/>
  <c r="K147" i="2"/>
  <c r="K144" i="2"/>
  <c r="K141" i="2"/>
  <c r="K138" i="2"/>
  <c r="K135" i="2"/>
  <c r="K132" i="2"/>
  <c r="K129" i="2"/>
  <c r="K126" i="2"/>
  <c r="K123" i="2"/>
  <c r="K120" i="2"/>
  <c r="K117" i="2"/>
  <c r="K114" i="2"/>
  <c r="K111" i="2"/>
  <c r="K108" i="2"/>
  <c r="K104" i="2"/>
  <c r="K101" i="2"/>
  <c r="K98" i="2"/>
  <c r="K95" i="2"/>
  <c r="K92" i="2"/>
  <c r="K89" i="2"/>
  <c r="K86" i="2"/>
  <c r="K83" i="2"/>
  <c r="K80" i="2"/>
  <c r="K77" i="2"/>
  <c r="K74" i="2"/>
  <c r="K71" i="2"/>
  <c r="K68" i="2"/>
  <c r="K65" i="2"/>
  <c r="K62" i="2"/>
  <c r="K59" i="2"/>
  <c r="K56" i="2"/>
  <c r="K53" i="2"/>
  <c r="K50" i="2"/>
  <c r="K47" i="2"/>
  <c r="K44" i="2"/>
  <c r="K41" i="2"/>
  <c r="K38" i="2"/>
  <c r="K34" i="2"/>
  <c r="K31" i="2"/>
  <c r="K28" i="2"/>
  <c r="K25" i="2"/>
  <c r="K22" i="2"/>
  <c r="K19" i="2"/>
  <c r="K16" i="2"/>
  <c r="K13" i="2"/>
  <c r="K10" i="2"/>
  <c r="K8" i="2"/>
  <c r="K5" i="2"/>
  <c r="K2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I34" i="2"/>
  <c r="I31" i="2"/>
  <c r="I28" i="2"/>
  <c r="I25" i="2"/>
  <c r="I22" i="2"/>
  <c r="I19" i="2"/>
  <c r="I16" i="2"/>
  <c r="I13" i="2"/>
  <c r="I10" i="2"/>
  <c r="I8" i="2"/>
  <c r="I2" i="2"/>
  <c r="I5" i="2"/>
  <c r="F294" i="2"/>
  <c r="F291" i="2"/>
  <c r="F288" i="2"/>
  <c r="F285" i="2"/>
  <c r="F282" i="2"/>
  <c r="F279" i="2"/>
  <c r="F276" i="2"/>
  <c r="F273" i="2"/>
  <c r="F270" i="2"/>
  <c r="F267" i="2"/>
  <c r="F264" i="2"/>
  <c r="F261" i="2"/>
  <c r="F258" i="2"/>
  <c r="F256" i="2"/>
  <c r="F253" i="2"/>
  <c r="F250" i="2"/>
  <c r="F247" i="2"/>
  <c r="F244" i="2"/>
  <c r="F241" i="2"/>
  <c r="F238" i="2"/>
  <c r="F235" i="2"/>
  <c r="F232" i="2"/>
  <c r="F229" i="2"/>
  <c r="F226" i="2"/>
  <c r="F223" i="2"/>
  <c r="F220" i="2"/>
  <c r="F217" i="2"/>
  <c r="F214" i="2"/>
  <c r="F211" i="2"/>
  <c r="F208" i="2"/>
  <c r="F205" i="2"/>
  <c r="F202" i="2"/>
  <c r="F199" i="2"/>
  <c r="F196" i="2"/>
  <c r="F193" i="2"/>
  <c r="F190" i="2"/>
  <c r="F187" i="2"/>
  <c r="F184" i="2"/>
  <c r="F181" i="2"/>
  <c r="F178" i="2"/>
  <c r="F174" i="2"/>
  <c r="F171" i="2"/>
  <c r="F168" i="2"/>
  <c r="F165" i="2"/>
  <c r="F162" i="2"/>
  <c r="F159" i="2"/>
  <c r="F156" i="2"/>
  <c r="F153" i="2"/>
  <c r="F150" i="2"/>
  <c r="F147" i="2"/>
  <c r="F144" i="2"/>
  <c r="F141" i="2"/>
  <c r="F138" i="2"/>
  <c r="F135" i="2"/>
  <c r="F132" i="2"/>
  <c r="F129" i="2"/>
  <c r="F126" i="2"/>
  <c r="F123" i="2"/>
  <c r="F120" i="2"/>
  <c r="F117" i="2"/>
  <c r="F114" i="2"/>
  <c r="F111" i="2"/>
  <c r="F108" i="2"/>
  <c r="F104" i="2"/>
  <c r="F101" i="2"/>
  <c r="F98" i="2"/>
  <c r="F95" i="2"/>
  <c r="F92" i="2"/>
  <c r="F89" i="2"/>
  <c r="F86" i="2"/>
  <c r="F83" i="2"/>
  <c r="F80" i="2"/>
  <c r="F77" i="2"/>
  <c r="F74" i="2"/>
  <c r="F71" i="2"/>
  <c r="F68" i="2"/>
  <c r="F65" i="2"/>
  <c r="F62" i="2"/>
  <c r="F59" i="2"/>
  <c r="F56" i="2"/>
  <c r="F53" i="2"/>
  <c r="F50" i="2"/>
  <c r="F47" i="2"/>
  <c r="F44" i="2"/>
  <c r="F41" i="2"/>
  <c r="F38" i="2"/>
  <c r="F34" i="2"/>
  <c r="F31" i="2"/>
  <c r="F28" i="2"/>
  <c r="F25" i="2"/>
  <c r="F22" i="2"/>
  <c r="F19" i="2"/>
  <c r="F16" i="2"/>
  <c r="F13" i="2"/>
  <c r="F10" i="2"/>
  <c r="F8" i="2"/>
  <c r="F5" i="2"/>
  <c r="F2" i="2"/>
  <c r="M16" i="2" l="1"/>
  <c r="M138" i="2"/>
  <c r="M211" i="2"/>
  <c r="M150" i="2"/>
  <c r="M235" i="2"/>
  <c r="M223" i="2"/>
  <c r="M74" i="2"/>
  <c r="M120" i="2"/>
  <c r="M132" i="2"/>
  <c r="M144" i="2"/>
  <c r="M156" i="2"/>
  <c r="M168" i="2"/>
  <c r="M205" i="2"/>
  <c r="M217" i="2"/>
  <c r="M253" i="2"/>
  <c r="M264" i="2"/>
  <c r="M276" i="2"/>
  <c r="M250" i="2"/>
  <c r="M273" i="2"/>
  <c r="M187" i="2"/>
  <c r="M258" i="2"/>
  <c r="M117" i="2"/>
  <c r="M165" i="2"/>
  <c r="M129" i="2"/>
  <c r="M178" i="2"/>
  <c r="M19" i="2"/>
  <c r="M141" i="2"/>
  <c r="M190" i="2"/>
  <c r="M214" i="2"/>
  <c r="M261" i="2"/>
  <c r="M50" i="2"/>
  <c r="M62" i="2"/>
  <c r="M86" i="2"/>
  <c r="M98" i="2"/>
  <c r="M111" i="2"/>
  <c r="M123" i="2"/>
  <c r="M135" i="2"/>
  <c r="M159" i="2"/>
  <c r="M171" i="2"/>
  <c r="M220" i="2"/>
  <c r="M232" i="2"/>
  <c r="M244" i="2"/>
  <c r="M279" i="2"/>
  <c r="M8" i="2"/>
  <c r="M202" i="2"/>
  <c r="M31" i="2"/>
  <c r="M104" i="2"/>
  <c r="M153" i="2"/>
  <c r="M101" i="2"/>
  <c r="M114" i="2"/>
  <c r="M126" i="2"/>
  <c r="M162" i="2"/>
  <c r="M174" i="2"/>
  <c r="M199" i="2"/>
  <c r="M247" i="2"/>
  <c r="M53" i="2"/>
  <c r="M65" i="2"/>
  <c r="M77" i="2"/>
  <c r="M238" i="2"/>
  <c r="M181" i="2"/>
  <c r="M193" i="2"/>
  <c r="M226" i="2"/>
  <c r="M28" i="2"/>
  <c r="M270" i="2"/>
  <c r="M10" i="2"/>
  <c r="M22" i="2"/>
  <c r="M34" i="2"/>
  <c r="M47" i="2"/>
  <c r="M59" i="2"/>
  <c r="M71" i="2"/>
  <c r="M83" i="2"/>
  <c r="M95" i="2"/>
  <c r="M108" i="2"/>
  <c r="M229" i="2"/>
  <c r="M241" i="2"/>
  <c r="M288" i="2"/>
  <c r="M291" i="2"/>
  <c r="M89" i="2"/>
  <c r="M208" i="2"/>
  <c r="M196" i="2"/>
  <c r="M184" i="2"/>
  <c r="M147" i="2"/>
  <c r="M267" i="2"/>
  <c r="M256" i="2"/>
  <c r="M38" i="2"/>
  <c r="M25" i="2"/>
  <c r="M13" i="2"/>
  <c r="M92" i="2"/>
  <c r="M80" i="2"/>
  <c r="M68" i="2"/>
  <c r="M56" i="2"/>
  <c r="M44" i="2"/>
  <c r="M41" i="2"/>
  <c r="M285" i="2"/>
  <c r="M294" i="2"/>
  <c r="M2" i="2"/>
  <c r="M282" i="2"/>
  <c r="M5" i="2"/>
</calcChain>
</file>

<file path=xl/sharedStrings.xml><?xml version="1.0" encoding="utf-8"?>
<sst xmlns="http://schemas.openxmlformats.org/spreadsheetml/2006/main" count="2035" uniqueCount="331">
  <si>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</si>
  <si>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</si>
  <si>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</si>
  <si>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</si>
  <si>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</si>
  <si>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</si>
  <si>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</si>
  <si>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</si>
  <si>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</si>
  <si>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</si>
  <si>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</si>
  <si>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</si>
  <si>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</si>
  <si>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</si>
  <si>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</si>
  <si>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</si>
  <si>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</si>
  <si>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</si>
  <si>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</si>
  <si>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</si>
  <si>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</si>
  <si>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</si>
  <si>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</si>
  <si>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</si>
  <si>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</si>
  <si>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</si>
  <si>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</si>
  <si>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</si>
  <si>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</si>
  <si>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</si>
  <si>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</si>
  <si>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</si>
  <si>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</si>
  <si>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</si>
  <si>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</si>
  <si>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</si>
  <si>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</si>
  <si>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</si>
  <si>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</si>
  <si>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</si>
  <si>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</si>
  <si>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</si>
  <si>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</si>
  <si>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</si>
  <si>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</si>
  <si>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</si>
  <si>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</si>
  <si>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</si>
  <si>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</si>
  <si>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</si>
  <si>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</si>
  <si>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</si>
  <si>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</si>
  <si>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</si>
  <si>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</si>
  <si>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</si>
  <si>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</si>
  <si>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</si>
  <si>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</si>
  <si>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</si>
  <si>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</si>
  <si>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</si>
  <si>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</si>
  <si>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</si>
  <si>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</si>
  <si>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</si>
  <si>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</si>
  <si>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</si>
  <si>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</si>
  <si>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</si>
  <si>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</si>
  <si>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</si>
  <si>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</si>
  <si>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</si>
  <si>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</si>
  <si>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</si>
  <si>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</si>
  <si>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</si>
  <si>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</si>
  <si>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</si>
  <si>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</si>
  <si>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</si>
  <si>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</si>
  <si>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</si>
  <si>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</si>
  <si>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</si>
  <si>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</si>
  <si>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</si>
  <si>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</si>
  <si>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</si>
  <si>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</si>
  <si>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</si>
  <si>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</si>
  <si>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</si>
  <si>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</si>
  <si>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</si>
  <si>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</si>
  <si>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</si>
  <si>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</si>
  <si>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</si>
  <si>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</si>
  <si>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</si>
  <si>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</si>
  <si>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</si>
  <si>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</si>
  <si>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</si>
  <si>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</si>
  <si>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</si>
  <si>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</si>
  <si>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</si>
  <si>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</si>
  <si>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</si>
  <si>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</si>
  <si>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</si>
  <si>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</si>
  <si>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</si>
  <si>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</si>
  <si>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</si>
  <si>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</si>
  <si>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</si>
  <si>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</si>
  <si>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</si>
  <si>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</si>
  <si>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</si>
  <si>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</si>
  <si>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</si>
  <si>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</si>
  <si>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</si>
  <si>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</si>
  <si>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</si>
  <si>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</si>
  <si>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</si>
  <si>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</si>
  <si>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</si>
  <si>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</si>
  <si>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</si>
  <si>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</si>
  <si>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</si>
  <si>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</si>
  <si>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</si>
  <si>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</si>
  <si>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</si>
  <si>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</si>
  <si>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</si>
  <si>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</si>
  <si>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</si>
  <si>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</si>
  <si>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</si>
  <si>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</si>
  <si>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</si>
  <si>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</si>
  <si>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</si>
  <si>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</si>
  <si>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</si>
  <si>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</si>
  <si>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</si>
  <si>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</si>
  <si>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</si>
  <si>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</si>
  <si>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</si>
  <si>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</si>
  <si>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</si>
  <si>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</si>
  <si>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</si>
  <si>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</si>
  <si>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</si>
  <si>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</si>
  <si>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</si>
  <si>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</si>
  <si>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</si>
  <si>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</si>
  <si>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</si>
  <si>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</si>
  <si>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</si>
  <si>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</si>
  <si>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</si>
  <si>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</si>
  <si>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</si>
  <si>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</si>
  <si>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</si>
  <si>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</si>
  <si>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</si>
  <si>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</si>
  <si>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</si>
  <si>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</si>
  <si>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</si>
  <si>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</si>
  <si>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</si>
  <si>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</si>
  <si>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</si>
  <si>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</si>
  <si>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</si>
  <si>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</si>
  <si>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</si>
  <si>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</si>
  <si>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</si>
  <si>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</si>
  <si>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</si>
  <si>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</si>
  <si>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</si>
  <si>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</si>
  <si>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</si>
  <si>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</si>
  <si>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</si>
  <si>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</si>
  <si>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</si>
  <si>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</si>
  <si>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</si>
  <si>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</si>
  <si>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</si>
  <si>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</si>
  <si>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</si>
  <si>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</si>
  <si>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</si>
  <si>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</si>
  <si>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</si>
  <si>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</si>
  <si>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</si>
  <si>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</si>
  <si>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</si>
  <si>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</si>
  <si>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</si>
  <si>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</si>
  <si>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</si>
  <si>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</si>
  <si>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</si>
  <si>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</si>
  <si>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</si>
  <si>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</si>
  <si>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</si>
  <si>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</si>
  <si>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</si>
  <si>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</si>
  <si>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</si>
  <si>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</si>
  <si>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</si>
  <si>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</si>
  <si>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</si>
  <si>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</si>
  <si>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</si>
  <si>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</si>
  <si>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</si>
  <si>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</si>
  <si>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</si>
  <si>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</si>
  <si>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</si>
  <si>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</si>
  <si>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</si>
  <si>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</si>
  <si>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</si>
  <si>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</si>
  <si>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</si>
  <si>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</si>
  <si>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</si>
  <si>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</si>
  <si>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</si>
  <si>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</si>
  <si>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</si>
  <si>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</si>
  <si>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</si>
  <si>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</si>
  <si>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</si>
  <si>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</si>
  <si>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</si>
  <si>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</si>
  <si>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</si>
  <si>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</si>
  <si>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</si>
  <si>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</si>
  <si>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</si>
  <si>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</si>
  <si>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</si>
  <si>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</si>
  <si>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</si>
  <si>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</si>
  <si>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</si>
  <si>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</si>
  <si>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</si>
  <si>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</si>
  <si>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</si>
  <si>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</si>
  <si>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</si>
  <si>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</si>
  <si>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</si>
  <si>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</si>
  <si>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</si>
  <si>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</si>
  <si>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</si>
  <si>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</si>
  <si>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</si>
  <si>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</si>
  <si>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</si>
  <si>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</si>
  <si>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</si>
  <si>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</si>
  <si>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</si>
  <si>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</si>
  <si>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</si>
  <si>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</si>
  <si>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</si>
  <si>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</si>
  <si>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</si>
  <si>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</si>
  <si>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</si>
  <si>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</si>
  <si>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</si>
  <si>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</si>
  <si>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</si>
  <si>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</si>
  <si>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</si>
  <si>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</si>
  <si>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</si>
  <si>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</si>
  <si>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Definindo KPIs para os indicadores</t>
  </si>
  <si>
    <t>Rótulos de Linha</t>
  </si>
  <si>
    <t>Total Geral</t>
  </si>
  <si>
    <t>Soma de Total Value</t>
  </si>
  <si>
    <t>Qual é o crescimento do número de assinantes ao longo dos meses?</t>
  </si>
  <si>
    <t>Qual plano tem maior adesão à renovação automática?</t>
  </si>
  <si>
    <t>Quantos assinantes adquiriram o EA Play Season Pass? E quantos adquiriram o Minecraft Season Pass?</t>
  </si>
  <si>
    <t>Qual é a receita total proveniente apenas dos planos anuais e com confirmação de renovação</t>
  </si>
  <si>
    <t>XBOX GAME PASS SUBSCRIPITION SALES</t>
  </si>
  <si>
    <t>mar</t>
  </si>
  <si>
    <t>jun</t>
  </si>
  <si>
    <t>jul</t>
  </si>
  <si>
    <t>ago</t>
  </si>
  <si>
    <t>set</t>
  </si>
  <si>
    <t>Julia Rocha Bem Vinda!</t>
  </si>
  <si>
    <t>Contagem de Auto Renewal</t>
  </si>
  <si>
    <t>Contagem de Total Value</t>
  </si>
  <si>
    <t>Contagem de Subscriber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</si>
</sst>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6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9" tint="-0.249977111117893"/>
      <name val="Lucida Console"/>
      <family val="3"/>
    </font>
    <font>
      <sz val="11"/>
      <color theme="0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31772D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9" tint="-0.499984740745262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2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64" fontId="3" fillId="0" borderId="0" xfId="0" applyNumberFormat="1" applyFont="1" applyAlignment="1">
      <alignment horizontal="center" vertical="center" wrapText="1"/>
    </xf>
    <xf numFmtId="164" fontId="0" fillId="0" borderId="0" xfId="2" applyNumberFormat="1" applyFont="1" applyAlignment="1">
      <alignment horizontal="center" vertical="center" wrapText="1"/>
    </xf>
    <xf numFmtId="164" fontId="0" fillId="0" borderId="0" xfId="0" applyNumberFormat="1"/>
    <xf numFmtId="0" fontId="0" fillId="8" borderId="0" xfId="0" applyFill="1"/>
    <xf numFmtId="0" fontId="4" fillId="0" borderId="2" xfId="0" applyFont="1" applyBorder="1" applyAlignment="1">
      <alignment horizontal="center" vertical="center"/>
    </xf>
    <xf numFmtId="0" fontId="0" fillId="0" borderId="0" xfId="0" applyNumberFormat="1"/>
    <xf numFmtId="0" fontId="0" fillId="9" borderId="0" xfId="0" applyFill="1"/>
    <xf numFmtId="0" fontId="5" fillId="8" borderId="0" xfId="0" applyFont="1" applyFill="1"/>
  </cellXfs>
  <cellStyles count="3">
    <cellStyle name="Moeda" xfId="2" builtinId="4"/>
    <cellStyle name="Normal" xfId="0" builtinId="0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31772D"/>
      <color rgb="FFE8E6E9"/>
      <color rgb="FF4CB947"/>
      <color rgb="FF2AE6B1"/>
      <color rgb="FF22C55E"/>
      <color rgb="FF5BF6A8"/>
      <color rgb="FF000000"/>
      <color rgb="FFE0E0E0"/>
      <color rgb="FFEDEDED"/>
      <color rgb="FFF7F8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[base.xlsx]C̳álculos!Tabela dinâmica3</c:name>
    <c:fmtId val="6"/>
  </c:pivotSource>
  <c:chart>
    <c:autoTitleDeleted val="1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C̳álculos!$B$14:$B$16</c:f>
              <c:strCache>
                <c:ptCount val="2"/>
                <c:pt idx="0">
                  <c:v>Monthly</c:v>
                </c:pt>
                <c:pt idx="1">
                  <c:v>Quarterly</c:v>
                </c:pt>
              </c:strCache>
            </c:strRef>
          </c:cat>
          <c:val>
            <c:numRef>
              <c:f>C̳álculos!$C$14:$C$16</c:f>
              <c:numCache>
                <c:formatCode>General</c:formatCode>
                <c:ptCount val="2"/>
                <c:pt idx="0">
                  <c:v>537</c:v>
                </c:pt>
                <c:pt idx="1">
                  <c:v>1257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D2-4271-B192-2461BC7F1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1519680"/>
        <c:axId val="511516728"/>
      </c:barChart>
      <c:catAx>
        <c:axId val="51151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1516728"/>
        <c:crosses val="autoZero"/>
        <c:auto val="1"/>
        <c:lblAlgn val="ctr"/>
        <c:lblOffset val="100"/>
        <c:noMultiLvlLbl val="0"/>
      </c:catAx>
      <c:valAx>
        <c:axId val="511516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151968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[base.xlsx]C̳álculos!Tabela dinâmica1</c:name>
    <c:fmtId val="10"/>
  </c:pivotSource>
  <c:chart>
    <c:autoTitleDeleted val="1"/>
    <c:pivotFmts>
      <c:pivotFmt>
        <c:idx val="0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C̳álculos!$C$23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C̳álculos!$B$24:$B$29</c:f>
              <c:strCache>
                <c:ptCount val="5"/>
                <c:pt idx="0">
                  <c:v>mar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C̳álculos!$C$24:$C$29</c:f>
              <c:numCache>
                <c:formatCode>General</c:formatCode>
                <c:ptCount val="5"/>
                <c:pt idx="0">
                  <c:v>24</c:v>
                </c:pt>
                <c:pt idx="1">
                  <c:v>23</c:v>
                </c:pt>
                <c:pt idx="2">
                  <c:v>24</c:v>
                </c:pt>
                <c:pt idx="3">
                  <c:v>23</c:v>
                </c:pt>
                <c:pt idx="4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40-4308-A1E5-F894D3EF2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0468584"/>
        <c:axId val="320468912"/>
      </c:lineChart>
      <c:catAx>
        <c:axId val="320468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20468912"/>
        <c:crosses val="autoZero"/>
        <c:auto val="1"/>
        <c:lblAlgn val="ctr"/>
        <c:lblOffset val="100"/>
        <c:noMultiLvlLbl val="0"/>
      </c:catAx>
      <c:valAx>
        <c:axId val="3204689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20468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[base.xlsx]C̳álculos!Tabela dinâmica4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Adesão de Renovação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C̳álculos!$H$14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3F-486A-828B-0803E17B93EF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3F-486A-828B-0803E17B93EF}"/>
              </c:ext>
            </c:extLst>
          </c:dPt>
          <c:dPt>
            <c:idx val="2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3F-486A-828B-0803E17B93EF}"/>
              </c:ext>
            </c:extLst>
          </c:dPt>
          <c:cat>
            <c:strRef>
              <c:f>C̳álculos!$G$15:$G$18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C̳álculos!$H$15:$H$18</c:f>
              <c:numCache>
                <c:formatCode>General</c:formatCode>
                <c:ptCount val="3"/>
                <c:pt idx="0">
                  <c:v>34</c:v>
                </c:pt>
                <c:pt idx="1">
                  <c:v>35</c:v>
                </c:pt>
                <c:pt idx="2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23F-486A-828B-0803E17B9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[base.xlsx]C̳álculos!Tabela dinâmica7</c:name>
    <c:fmtId val="14"/>
  </c:pivotSource>
  <c:chart>
    <c:autoTitleDeleted val="1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3168718590359529"/>
          <c:y val="0.21899606299212598"/>
          <c:w val="0.75857349251007533"/>
          <c:h val="0.629295603674540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C̳álculos!$G$32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C̳álculos!$G$33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C̳álculos!$G$33</c:f>
              <c:numCache>
                <c:formatCode>General</c:formatCode>
                <c:ptCount val="1"/>
                <c:pt idx="0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CC-44E0-B49D-FB8EE3110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0466288"/>
        <c:axId val="320466616"/>
      </c:barChart>
      <c:catAx>
        <c:axId val="32046628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Assinantes</a:t>
                </a:r>
                <a:r>
                  <a:rPr lang="pt-BR" baseline="0"/>
                  <a:t> Minecraft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crossAx val="320466616"/>
        <c:crosses val="autoZero"/>
        <c:auto val="1"/>
        <c:lblAlgn val="ctr"/>
        <c:lblOffset val="100"/>
        <c:noMultiLvlLbl val="0"/>
      </c:catAx>
      <c:valAx>
        <c:axId val="320466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20466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[base.xlsx]C̳álculos!Tabela dinâmica8</c:name>
    <c:fmtId val="18"/>
  </c:pivotSource>
  <c:chart>
    <c:autoTitleDeleted val="1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C̳álculos!$B$34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C̳álculos!$B$35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C̳álculos!$B$35</c:f>
              <c:numCache>
                <c:formatCode>General</c:formatCode>
                <c:ptCount val="1"/>
                <c:pt idx="0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4375-BC46-473F7732BF4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81002880"/>
        <c:axId val="581003536"/>
      </c:barChart>
      <c:catAx>
        <c:axId val="581002880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Assinantes EA Play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crossAx val="581003536"/>
        <c:crosses val="autoZero"/>
        <c:auto val="1"/>
        <c:lblAlgn val="ctr"/>
        <c:lblOffset val="100"/>
        <c:noMultiLvlLbl val="0"/>
      </c:catAx>
      <c:valAx>
        <c:axId val="581003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81002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jpeg"/><Relationship Id="rId4" Type="http://schemas.openxmlformats.org/officeDocument/2006/relationships/image" Target="../media/image4.svg"/><Relationship Id="rId9" Type="http://schemas.openxmlformats.org/officeDocument/2006/relationships/image" Target="../media/image9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3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15</xdr:row>
      <xdr:rowOff>66675</xdr:rowOff>
    </xdr:from>
    <xdr:to>
      <xdr:col>5</xdr:col>
      <xdr:colOff>457200</xdr:colOff>
      <xdr:row>20</xdr:row>
      <xdr:rowOff>136398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5" y="2952750"/>
          <a:ext cx="3267075" cy="974598"/>
        </a:xfrm>
        <a:prstGeom prst="rect">
          <a:avLst/>
        </a:prstGeom>
      </xdr:spPr>
    </xdr:pic>
    <xdr:clientData/>
  </xdr:twoCellAnchor>
  <xdr:twoCellAnchor editAs="oneCell">
    <xdr:from>
      <xdr:col>15</xdr:col>
      <xdr:colOff>304800</xdr:colOff>
      <xdr:row>12</xdr:row>
      <xdr:rowOff>104775</xdr:rowOff>
    </xdr:from>
    <xdr:to>
      <xdr:col>15</xdr:col>
      <xdr:colOff>619125</xdr:colOff>
      <xdr:row>13</xdr:row>
      <xdr:rowOff>142875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0182225" y="2438400"/>
          <a:ext cx="314325" cy="228600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171451</xdr:colOff>
      <xdr:row>12</xdr:row>
      <xdr:rowOff>171450</xdr:rowOff>
    </xdr:from>
    <xdr:to>
      <xdr:col>10</xdr:col>
      <xdr:colOff>400096</xdr:colOff>
      <xdr:row>17</xdr:row>
      <xdr:rowOff>171495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7396DF1-6C4A-4A50-9475-887B355905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34076" y="2505075"/>
          <a:ext cx="914445" cy="914445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571500</xdr:colOff>
      <xdr:row>12</xdr:row>
      <xdr:rowOff>149224</xdr:rowOff>
    </xdr:from>
    <xdr:to>
      <xdr:col>12</xdr:col>
      <xdr:colOff>136526</xdr:colOff>
      <xdr:row>17</xdr:row>
      <xdr:rowOff>171450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B4D45C7-4F1B-42D4-A6C4-7896094F29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5" y="2482849"/>
          <a:ext cx="936626" cy="936626"/>
        </a:xfrm>
        <a:prstGeom prst="rect">
          <a:avLst/>
        </a:prstGeom>
      </xdr:spPr>
    </xdr:pic>
    <xdr:clientData/>
  </xdr:twoCellAnchor>
  <xdr:twoCellAnchor editAs="oneCell">
    <xdr:from>
      <xdr:col>9</xdr:col>
      <xdr:colOff>200025</xdr:colOff>
      <xdr:row>18</xdr:row>
      <xdr:rowOff>123825</xdr:rowOff>
    </xdr:from>
    <xdr:to>
      <xdr:col>10</xdr:col>
      <xdr:colOff>447675</xdr:colOff>
      <xdr:row>23</xdr:row>
      <xdr:rowOff>152400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54CB0BF-3E6F-45CA-9AF8-0D9B77A39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3552825"/>
          <a:ext cx="933450" cy="933450"/>
        </a:xfrm>
        <a:prstGeom prst="rect">
          <a:avLst/>
        </a:prstGeom>
      </xdr:spPr>
    </xdr:pic>
    <xdr:clientData/>
  </xdr:twoCellAnchor>
  <xdr:twoCellAnchor editAs="oneCell">
    <xdr:from>
      <xdr:col>10</xdr:col>
      <xdr:colOff>540526</xdr:colOff>
      <xdr:row>18</xdr:row>
      <xdr:rowOff>90449</xdr:rowOff>
    </xdr:from>
    <xdr:to>
      <xdr:col>12</xdr:col>
      <xdr:colOff>142876</xdr:colOff>
      <xdr:row>23</xdr:row>
      <xdr:rowOff>159524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AB6EB59-D7BF-4025-9314-A79F9FE82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88951" y="3519449"/>
          <a:ext cx="973950" cy="973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7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7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12</xdr:col>
      <xdr:colOff>9525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14</xdr:col>
      <xdr:colOff>9525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166688</xdr:colOff>
      <xdr:row>0</xdr:row>
      <xdr:rowOff>178593</xdr:rowOff>
    </xdr:from>
    <xdr:to>
      <xdr:col>0</xdr:col>
      <xdr:colOff>743201</xdr:colOff>
      <xdr:row>2</xdr:row>
      <xdr:rowOff>130968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A18F2FB-9D20-4825-A2DD-231A79795C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6867" b="-4441"/>
        <a:stretch/>
      </xdr:blipFill>
      <xdr:spPr>
        <a:xfrm>
          <a:off x="166688" y="178593"/>
          <a:ext cx="576513" cy="476250"/>
        </a:xfrm>
        <a:prstGeom prst="rect">
          <a:avLst/>
        </a:prstGeom>
      </xdr:spPr>
    </xdr:pic>
    <xdr:clientData/>
  </xdr:twoCellAnchor>
  <xdr:twoCellAnchor editAs="oneCell">
    <xdr:from>
      <xdr:col>0</xdr:col>
      <xdr:colOff>881062</xdr:colOff>
      <xdr:row>0</xdr:row>
      <xdr:rowOff>130969</xdr:rowOff>
    </xdr:from>
    <xdr:to>
      <xdr:col>0</xdr:col>
      <xdr:colOff>1759762</xdr:colOff>
      <xdr:row>3</xdr:row>
      <xdr:rowOff>211950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336414D-1B56-46E6-B67D-4BCE9C2EF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1062" y="130969"/>
          <a:ext cx="878700" cy="878700"/>
        </a:xfrm>
        <a:prstGeom prst="rect">
          <a:avLst/>
        </a:prstGeom>
      </xdr:spPr>
    </xdr:pic>
    <xdr:clientData/>
  </xdr:twoCellAnchor>
  <xdr:twoCellAnchor>
    <xdr:from>
      <xdr:col>1</xdr:col>
      <xdr:colOff>166687</xdr:colOff>
      <xdr:row>3</xdr:row>
      <xdr:rowOff>154781</xdr:rowOff>
    </xdr:from>
    <xdr:to>
      <xdr:col>3</xdr:col>
      <xdr:colOff>4262437</xdr:colOff>
      <xdr:row>12</xdr:row>
      <xdr:rowOff>142875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5221608E-85A7-4581-8EB9-B705DE73C20B}"/>
            </a:ext>
          </a:extLst>
        </xdr:cNvPr>
        <xdr:cNvGrpSpPr/>
      </xdr:nvGrpSpPr>
      <xdr:grpSpPr>
        <a:xfrm>
          <a:off x="2119312" y="952500"/>
          <a:ext cx="5036344" cy="2393156"/>
          <a:chOff x="4048125" y="988219"/>
          <a:chExt cx="5036344" cy="2393156"/>
        </a:xfrm>
      </xdr:grpSpPr>
      <xdr:sp macro="" textlink="">
        <xdr:nvSpPr>
          <xdr:cNvPr id="6" name="Retângulo: Cantos Arredondados 5">
            <a:extLst>
              <a:ext uri="{FF2B5EF4-FFF2-40B4-BE49-F238E27FC236}">
                <a16:creationId xmlns:a16="http://schemas.microsoft.com/office/drawing/2014/main" id="{177E710D-8FFB-495F-A941-01200D1DB379}"/>
              </a:ext>
            </a:extLst>
          </xdr:cNvPr>
          <xdr:cNvSpPr/>
        </xdr:nvSpPr>
        <xdr:spPr>
          <a:xfrm>
            <a:off x="4048125" y="988219"/>
            <a:ext cx="5036344" cy="2393156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84B50F98-ADCE-4D91-B882-ABC8183685DD}"/>
              </a:ext>
            </a:extLst>
          </xdr:cNvPr>
          <xdr:cNvGraphicFramePr>
            <a:graphicFrameLocks/>
          </xdr:cNvGraphicFramePr>
        </xdr:nvGraphicFramePr>
        <xdr:xfrm>
          <a:off x="4169570" y="1216819"/>
          <a:ext cx="4772025" cy="1981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 editAs="oneCell">
    <xdr:from>
      <xdr:col>0</xdr:col>
      <xdr:colOff>0</xdr:colOff>
      <xdr:row>6</xdr:row>
      <xdr:rowOff>297657</xdr:rowOff>
    </xdr:from>
    <xdr:to>
      <xdr:col>0</xdr:col>
      <xdr:colOff>1952624</xdr:colOff>
      <xdr:row>13</xdr:row>
      <xdr:rowOff>71437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Subscription Type">
              <a:extLst>
                <a:ext uri="{FF2B5EF4-FFF2-40B4-BE49-F238E27FC236}">
                  <a16:creationId xmlns:a16="http://schemas.microsoft.com/office/drawing/2014/main" id="{406A7A3C-0127-49CF-B5E6-4B2EE4EAE1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047876"/>
              <a:ext cx="1952624" cy="14049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154779</xdr:colOff>
      <xdr:row>13</xdr:row>
      <xdr:rowOff>95250</xdr:rowOff>
    </xdr:from>
    <xdr:to>
      <xdr:col>3</xdr:col>
      <xdr:colOff>4345779</xdr:colOff>
      <xdr:row>30</xdr:row>
      <xdr:rowOff>35718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6043DDC9-5F4B-47D0-9CB8-27C55AF63369}"/>
            </a:ext>
          </a:extLst>
        </xdr:cNvPr>
        <xdr:cNvGrpSpPr/>
      </xdr:nvGrpSpPr>
      <xdr:grpSpPr>
        <a:xfrm>
          <a:off x="2107404" y="3476625"/>
          <a:ext cx="5131594" cy="2976562"/>
          <a:chOff x="2119312" y="3417094"/>
          <a:chExt cx="5131594" cy="2976562"/>
        </a:xfrm>
      </xdr:grpSpPr>
      <xdr:sp macro="" textlink="">
        <xdr:nvSpPr>
          <xdr:cNvPr id="11" name="Retângulo: Cantos Arredondados 10">
            <a:extLst>
              <a:ext uri="{FF2B5EF4-FFF2-40B4-BE49-F238E27FC236}">
                <a16:creationId xmlns:a16="http://schemas.microsoft.com/office/drawing/2014/main" id="{79CEB653-18E1-4381-827A-152543E7CB76}"/>
              </a:ext>
            </a:extLst>
          </xdr:cNvPr>
          <xdr:cNvSpPr/>
        </xdr:nvSpPr>
        <xdr:spPr>
          <a:xfrm>
            <a:off x="2119312" y="3417094"/>
            <a:ext cx="5131594" cy="2976562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8" name="Gráfico 7">
            <a:extLst>
              <a:ext uri="{FF2B5EF4-FFF2-40B4-BE49-F238E27FC236}">
                <a16:creationId xmlns:a16="http://schemas.microsoft.com/office/drawing/2014/main" id="{62E09DE4-13E6-4582-BCCD-66D0387B75D3}"/>
              </a:ext>
            </a:extLst>
          </xdr:cNvPr>
          <xdr:cNvGraphicFramePr>
            <a:graphicFrameLocks/>
          </xdr:cNvGraphicFramePr>
        </xdr:nvGraphicFramePr>
        <xdr:xfrm>
          <a:off x="2400301" y="3559969"/>
          <a:ext cx="457200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 editAs="oneCell">
    <xdr:from>
      <xdr:col>0</xdr:col>
      <xdr:colOff>0</xdr:colOff>
      <xdr:row>13</xdr:row>
      <xdr:rowOff>71438</xdr:rowOff>
    </xdr:from>
    <xdr:to>
      <xdr:col>0</xdr:col>
      <xdr:colOff>1952624</xdr:colOff>
      <xdr:row>32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0" name="Meses">
              <a:extLst>
                <a:ext uri="{FF2B5EF4-FFF2-40B4-BE49-F238E27FC236}">
                  <a16:creationId xmlns:a16="http://schemas.microsoft.com/office/drawing/2014/main" id="{30A7007C-0C66-411C-9C4F-11E4CF082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452813"/>
              <a:ext cx="1952624" cy="346471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3</xdr:col>
      <xdr:colOff>4464843</xdr:colOff>
      <xdr:row>3</xdr:row>
      <xdr:rowOff>130968</xdr:rowOff>
    </xdr:from>
    <xdr:to>
      <xdr:col>8</xdr:col>
      <xdr:colOff>35718</xdr:colOff>
      <xdr:row>15</xdr:row>
      <xdr:rowOff>59531</xdr:rowOff>
    </xdr:to>
    <xdr:grpSp>
      <xdr:nvGrpSpPr>
        <xdr:cNvPr id="15" name="Agrupar 14">
          <a:extLst>
            <a:ext uri="{FF2B5EF4-FFF2-40B4-BE49-F238E27FC236}">
              <a16:creationId xmlns:a16="http://schemas.microsoft.com/office/drawing/2014/main" id="{2F9062F9-06EF-4038-BF84-2A3B2EF39F2C}"/>
            </a:ext>
          </a:extLst>
        </xdr:cNvPr>
        <xdr:cNvGrpSpPr/>
      </xdr:nvGrpSpPr>
      <xdr:grpSpPr>
        <a:xfrm>
          <a:off x="7358062" y="928687"/>
          <a:ext cx="3238500" cy="2869407"/>
          <a:chOff x="7441406" y="928687"/>
          <a:chExt cx="3238500" cy="2869407"/>
        </a:xfrm>
      </xdr:grpSpPr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730B49E4-F4A0-4005-A12B-42BFA4B222CB}"/>
              </a:ext>
            </a:extLst>
          </xdr:cNvPr>
          <xdr:cNvSpPr/>
        </xdr:nvSpPr>
        <xdr:spPr>
          <a:xfrm>
            <a:off x="7441406" y="928687"/>
            <a:ext cx="3238500" cy="2869407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13" name="Gráfico 12">
            <a:extLst>
              <a:ext uri="{FF2B5EF4-FFF2-40B4-BE49-F238E27FC236}">
                <a16:creationId xmlns:a16="http://schemas.microsoft.com/office/drawing/2014/main" id="{6AEE5E99-CECF-4189-BBE1-ECF256449EBC}"/>
              </a:ext>
            </a:extLst>
          </xdr:cNvPr>
          <xdr:cNvGraphicFramePr>
            <a:graphicFrameLocks/>
          </xdr:cNvGraphicFramePr>
        </xdr:nvGraphicFramePr>
        <xdr:xfrm>
          <a:off x="7667627" y="1035844"/>
          <a:ext cx="2833686" cy="260746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  <xdr:twoCellAnchor>
    <xdr:from>
      <xdr:col>3</xdr:col>
      <xdr:colOff>4536281</xdr:colOff>
      <xdr:row>15</xdr:row>
      <xdr:rowOff>154781</xdr:rowOff>
    </xdr:from>
    <xdr:to>
      <xdr:col>7</xdr:col>
      <xdr:colOff>571500</xdr:colOff>
      <xdr:row>33</xdr:row>
      <xdr:rowOff>23813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A7954CC2-1458-4FFD-8CB8-27D39316EAF1}"/>
            </a:ext>
          </a:extLst>
        </xdr:cNvPr>
        <xdr:cNvGrpSpPr/>
      </xdr:nvGrpSpPr>
      <xdr:grpSpPr>
        <a:xfrm>
          <a:off x="7429500" y="3893344"/>
          <a:ext cx="3012281" cy="3083719"/>
          <a:chOff x="7393781" y="3798094"/>
          <a:chExt cx="3429000" cy="3583781"/>
        </a:xfrm>
      </xdr:grpSpPr>
      <xdr:sp macro="" textlink="">
        <xdr:nvSpPr>
          <xdr:cNvPr id="19" name="Retângulo: Cantos Arredondados 18">
            <a:extLst>
              <a:ext uri="{FF2B5EF4-FFF2-40B4-BE49-F238E27FC236}">
                <a16:creationId xmlns:a16="http://schemas.microsoft.com/office/drawing/2014/main" id="{2C1AE4EC-7D67-4B61-A09F-D859482AFCBC}"/>
              </a:ext>
            </a:extLst>
          </xdr:cNvPr>
          <xdr:cNvSpPr/>
        </xdr:nvSpPr>
        <xdr:spPr>
          <a:xfrm>
            <a:off x="7393781" y="3798094"/>
            <a:ext cx="3429000" cy="3583781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17" name="Gráfico 16">
            <a:extLst>
              <a:ext uri="{FF2B5EF4-FFF2-40B4-BE49-F238E27FC236}">
                <a16:creationId xmlns:a16="http://schemas.microsoft.com/office/drawing/2014/main" id="{F9B6DC27-0BA7-49AC-B589-A1A90DA93DA7}"/>
              </a:ext>
            </a:extLst>
          </xdr:cNvPr>
          <xdr:cNvGraphicFramePr>
            <a:graphicFrameLocks/>
          </xdr:cNvGraphicFramePr>
        </xdr:nvGraphicFramePr>
        <xdr:xfrm>
          <a:off x="7631905" y="4000500"/>
          <a:ext cx="1381125" cy="3048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8" name="Gráfico 17">
            <a:extLst>
              <a:ext uri="{FF2B5EF4-FFF2-40B4-BE49-F238E27FC236}">
                <a16:creationId xmlns:a16="http://schemas.microsoft.com/office/drawing/2014/main" id="{9C118414-A993-4628-829C-FF5E0211934C}"/>
              </a:ext>
            </a:extLst>
          </xdr:cNvPr>
          <xdr:cNvGraphicFramePr>
            <a:graphicFrameLocks/>
          </xdr:cNvGraphicFramePr>
        </xdr:nvGraphicFramePr>
        <xdr:xfrm>
          <a:off x="8952229" y="4711335"/>
          <a:ext cx="1382632" cy="245783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 Prin3298" refreshedDate="46028.942665856484" createdVersion="7" refreshedVersion="7" minRefreshableVersion="3" recordCount="296" xr:uid="{47DCEDE9-8918-46C2-8070-0911F9BC93FD}">
  <cacheSource type="worksheet">
    <worksheetSource name="Tabela1"/>
  </cacheSource>
  <cacheFields count="14">
    <cacheField name="Subscriber ID" numFmtId="0">
      <sharedItems containsString="0" containsBlank="1" containsNumber="1" containsInteger="1" minValue="3231" maxValue="3525" count="296"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m/>
      </sharedItems>
    </cacheField>
    <cacheField name="Name" numFmtId="0">
      <sharedItems containsBlank="1"/>
    </cacheField>
    <cacheField name="Plan" numFmtId="0">
      <sharedItems containsBlank="1" count="4">
        <s v="Ultimate"/>
        <s v="Core"/>
        <s v="Standard"/>
        <m/>
      </sharedItems>
    </cacheField>
    <cacheField name="Start Date" numFmtId="0">
      <sharedItems containsNonDate="0" containsDate="1" containsString="0" containsBlank="1" minDate="2024-01-01T00:00:00" maxDate="2024-12-17T00:00:00" count="295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m/>
      </sharedItems>
      <fieldGroup par="13" base="3">
        <rangePr groupBy="days" startDate="2024-01-01T00:00:00" endDate="2024-12-17T00:00:00"/>
        <groupItems count="368">
          <s v="(vazio)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2/2024"/>
        </groupItems>
      </fieldGroup>
    </cacheField>
    <cacheField name="Auto Renewal" numFmtId="0">
      <sharedItems containsBlank="1" count="3">
        <s v="Yes"/>
        <s v="No"/>
        <m/>
      </sharedItems>
    </cacheField>
    <cacheField name="Subscription Price" numFmtId="44">
      <sharedItems containsString="0" containsBlank="1" containsNumber="1" containsInteger="1" minValue="5" maxValue="15" count="4">
        <n v="15"/>
        <n v="5"/>
        <n v="10"/>
        <m/>
      </sharedItems>
    </cacheField>
    <cacheField name="Subscription Type" numFmtId="0">
      <sharedItems containsBlank="1" count="4">
        <s v="Monthly"/>
        <s v="Annual"/>
        <s v="Quarterly"/>
        <m/>
      </sharedItems>
    </cacheField>
    <cacheField name="EA Play Season Pass" numFmtId="0">
      <sharedItems containsBlank="1" count="3">
        <s v="No"/>
        <s v="Yes"/>
        <m/>
      </sharedItems>
    </cacheField>
    <cacheField name="EA Play Season Pass_x000a_Price" numFmtId="44">
      <sharedItems containsBlank="1" containsMixedTypes="1" containsNumber="1" containsInteger="1" minValue="0" maxValue="30" count="4">
        <n v="0"/>
        <s v="-"/>
        <n v="30"/>
        <m/>
      </sharedItems>
    </cacheField>
    <cacheField name="Minecraft Season Pass" numFmtId="0">
      <sharedItems containsBlank="1" count="3">
        <s v="No"/>
        <s v="Yes"/>
        <m/>
      </sharedItems>
    </cacheField>
    <cacheField name="Minecraft Season Pass Price" numFmtId="44">
      <sharedItems containsString="0" containsBlank="1" containsNumber="1" containsInteger="1" minValue="0" maxValue="20" count="3">
        <n v="0"/>
        <n v="20"/>
        <m/>
      </sharedItems>
    </cacheField>
    <cacheField name="Coupon Value" numFmtId="44">
      <sharedItems containsString="0" containsBlank="1" containsNumber="1" containsInteger="1" minValue="0" maxValue="20" count="12">
        <n v="5"/>
        <n v="0"/>
        <n v="10"/>
        <n v="3"/>
        <n v="1"/>
        <n v="2"/>
        <n v="15"/>
        <n v="20"/>
        <n v="8"/>
        <n v="12"/>
        <n v="7"/>
        <m/>
      </sharedItems>
    </cacheField>
    <cacheField name="Total Value" numFmtId="0">
      <sharedItems containsString="0" containsBlank="1" containsNumber="1" containsInteger="1" minValue="3" maxValue="62" count="31">
        <n v="10"/>
        <n v="5"/>
        <n v="20"/>
        <n v="27"/>
        <n v="4"/>
        <n v="28"/>
        <n v="55"/>
        <n v="60"/>
        <n v="15"/>
        <n v="17"/>
        <n v="18"/>
        <n v="3"/>
        <n v="25"/>
        <n v="32"/>
        <n v="53"/>
        <n v="42"/>
        <n v="35"/>
        <n v="40"/>
        <n v="62"/>
        <n v="38"/>
        <n v="50"/>
        <n v="48"/>
        <n v="45"/>
        <n v="57"/>
        <n v="52"/>
        <n v="58"/>
        <n v="23"/>
        <n v="30"/>
        <n v="37"/>
        <n v="22"/>
        <m/>
      </sharedItems>
    </cacheField>
    <cacheField name="Meses" numFmtId="0" databaseField="0">
      <fieldGroup base="3">
        <rangePr groupBy="months" startDate="2024-01-01T00:00:00" endDate="2024-12-17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2/2024"/>
        </groupItems>
      </fieldGroup>
    </cacheField>
  </cacheFields>
  <extLst>
    <ext xmlns:x14="http://schemas.microsoft.com/office/spreadsheetml/2009/9/main" uri="{725AE2AE-9491-48be-B2B4-4EB974FC3084}">
      <x14:pivotCacheDefinition pivotCacheId="10160256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6">
  <r>
    <x v="0"/>
    <s v="João Silva"/>
    <x v="0"/>
    <x v="0"/>
    <x v="0"/>
    <x v="0"/>
    <x v="0"/>
    <x v="0"/>
    <x v="0"/>
    <x v="0"/>
    <x v="0"/>
    <x v="0"/>
    <x v="0"/>
  </r>
  <r>
    <x v="1"/>
    <s v="Maria Oliveira"/>
    <x v="1"/>
    <x v="1"/>
    <x v="1"/>
    <x v="1"/>
    <x v="1"/>
    <x v="0"/>
    <x v="1"/>
    <x v="0"/>
    <x v="0"/>
    <x v="1"/>
    <x v="1"/>
  </r>
  <r>
    <x v="2"/>
    <s v="Lucas Fernandes"/>
    <x v="2"/>
    <x v="2"/>
    <x v="0"/>
    <x v="2"/>
    <x v="2"/>
    <x v="0"/>
    <x v="1"/>
    <x v="1"/>
    <x v="1"/>
    <x v="2"/>
    <x v="2"/>
  </r>
  <r>
    <x v="3"/>
    <s v="Ana Souza"/>
    <x v="2"/>
    <x v="3"/>
    <x v="1"/>
    <x v="2"/>
    <x v="0"/>
    <x v="0"/>
    <x v="0"/>
    <x v="1"/>
    <x v="1"/>
    <x v="3"/>
    <x v="3"/>
  </r>
  <r>
    <x v="4"/>
    <s v="Pedro Gonçalves"/>
    <x v="1"/>
    <x v="4"/>
    <x v="0"/>
    <x v="1"/>
    <x v="0"/>
    <x v="0"/>
    <x v="1"/>
    <x v="0"/>
    <x v="0"/>
    <x v="4"/>
    <x v="4"/>
  </r>
  <r>
    <x v="5"/>
    <s v="Felipe Costa"/>
    <x v="2"/>
    <x v="5"/>
    <x v="1"/>
    <x v="2"/>
    <x v="0"/>
    <x v="0"/>
    <x v="1"/>
    <x v="1"/>
    <x v="1"/>
    <x v="5"/>
    <x v="5"/>
  </r>
  <r>
    <x v="6"/>
    <s v="Camila Ribeiro"/>
    <x v="0"/>
    <x v="6"/>
    <x v="0"/>
    <x v="0"/>
    <x v="2"/>
    <x v="1"/>
    <x v="2"/>
    <x v="1"/>
    <x v="1"/>
    <x v="2"/>
    <x v="6"/>
  </r>
  <r>
    <x v="7"/>
    <s v="André Mendes"/>
    <x v="1"/>
    <x v="7"/>
    <x v="0"/>
    <x v="1"/>
    <x v="1"/>
    <x v="0"/>
    <x v="1"/>
    <x v="0"/>
    <x v="0"/>
    <x v="1"/>
    <x v="1"/>
  </r>
  <r>
    <x v="8"/>
    <s v="Sofia Almeida"/>
    <x v="0"/>
    <x v="4"/>
    <x v="1"/>
    <x v="0"/>
    <x v="0"/>
    <x v="1"/>
    <x v="2"/>
    <x v="1"/>
    <x v="1"/>
    <x v="0"/>
    <x v="7"/>
  </r>
  <r>
    <x v="9"/>
    <s v="Bruno Martins"/>
    <x v="2"/>
    <x v="8"/>
    <x v="0"/>
    <x v="2"/>
    <x v="2"/>
    <x v="0"/>
    <x v="1"/>
    <x v="1"/>
    <x v="1"/>
    <x v="6"/>
    <x v="8"/>
  </r>
  <r>
    <x v="10"/>
    <s v="Rita Castro"/>
    <x v="1"/>
    <x v="9"/>
    <x v="1"/>
    <x v="1"/>
    <x v="0"/>
    <x v="0"/>
    <x v="1"/>
    <x v="0"/>
    <x v="0"/>
    <x v="4"/>
    <x v="4"/>
  </r>
  <r>
    <x v="11"/>
    <s v="Marco Túlio"/>
    <x v="0"/>
    <x v="10"/>
    <x v="0"/>
    <x v="0"/>
    <x v="1"/>
    <x v="0"/>
    <x v="0"/>
    <x v="1"/>
    <x v="1"/>
    <x v="7"/>
    <x v="8"/>
  </r>
  <r>
    <x v="12"/>
    <s v="Lívia Silveira"/>
    <x v="2"/>
    <x v="11"/>
    <x v="1"/>
    <x v="2"/>
    <x v="0"/>
    <x v="0"/>
    <x v="1"/>
    <x v="1"/>
    <x v="1"/>
    <x v="2"/>
    <x v="2"/>
  </r>
  <r>
    <x v="13"/>
    <s v="Diogo Sousa"/>
    <x v="1"/>
    <x v="12"/>
    <x v="0"/>
    <x v="1"/>
    <x v="2"/>
    <x v="0"/>
    <x v="1"/>
    <x v="0"/>
    <x v="0"/>
    <x v="1"/>
    <x v="1"/>
  </r>
  <r>
    <x v="14"/>
    <s v="Fernanda Lima"/>
    <x v="1"/>
    <x v="13"/>
    <x v="1"/>
    <x v="1"/>
    <x v="0"/>
    <x v="0"/>
    <x v="0"/>
    <x v="1"/>
    <x v="1"/>
    <x v="8"/>
    <x v="9"/>
  </r>
  <r>
    <x v="15"/>
    <s v="Caio Pereira"/>
    <x v="2"/>
    <x v="14"/>
    <x v="0"/>
    <x v="2"/>
    <x v="1"/>
    <x v="0"/>
    <x v="1"/>
    <x v="1"/>
    <x v="1"/>
    <x v="9"/>
    <x v="10"/>
  </r>
  <r>
    <x v="16"/>
    <s v="Beatriz Gomes"/>
    <x v="1"/>
    <x v="15"/>
    <x v="1"/>
    <x v="1"/>
    <x v="0"/>
    <x v="0"/>
    <x v="1"/>
    <x v="0"/>
    <x v="0"/>
    <x v="5"/>
    <x v="11"/>
  </r>
  <r>
    <x v="17"/>
    <s v="Cesar Oliveira"/>
    <x v="0"/>
    <x v="16"/>
    <x v="0"/>
    <x v="0"/>
    <x v="2"/>
    <x v="0"/>
    <x v="0"/>
    <x v="1"/>
    <x v="1"/>
    <x v="10"/>
    <x v="5"/>
  </r>
  <r>
    <x v="18"/>
    <s v="Débora Machado"/>
    <x v="2"/>
    <x v="17"/>
    <x v="1"/>
    <x v="2"/>
    <x v="0"/>
    <x v="0"/>
    <x v="1"/>
    <x v="1"/>
    <x v="1"/>
    <x v="0"/>
    <x v="12"/>
  </r>
  <r>
    <x v="19"/>
    <s v="Eduardo Vargas"/>
    <x v="1"/>
    <x v="18"/>
    <x v="0"/>
    <x v="1"/>
    <x v="1"/>
    <x v="0"/>
    <x v="1"/>
    <x v="0"/>
    <x v="0"/>
    <x v="1"/>
    <x v="1"/>
  </r>
  <r>
    <x v="20"/>
    <s v="Gabriela Santos"/>
    <x v="0"/>
    <x v="19"/>
    <x v="1"/>
    <x v="0"/>
    <x v="0"/>
    <x v="0"/>
    <x v="0"/>
    <x v="1"/>
    <x v="1"/>
    <x v="3"/>
    <x v="13"/>
  </r>
  <r>
    <x v="21"/>
    <s v="Henrique Dias"/>
    <x v="2"/>
    <x v="20"/>
    <x v="0"/>
    <x v="2"/>
    <x v="2"/>
    <x v="0"/>
    <x v="1"/>
    <x v="1"/>
    <x v="1"/>
    <x v="6"/>
    <x v="8"/>
  </r>
  <r>
    <x v="22"/>
    <s v="Isabela Moreira"/>
    <x v="1"/>
    <x v="21"/>
    <x v="1"/>
    <x v="1"/>
    <x v="0"/>
    <x v="0"/>
    <x v="1"/>
    <x v="0"/>
    <x v="0"/>
    <x v="4"/>
    <x v="4"/>
  </r>
  <r>
    <x v="23"/>
    <s v="Joaquim Barbosa"/>
    <x v="2"/>
    <x v="22"/>
    <x v="0"/>
    <x v="2"/>
    <x v="1"/>
    <x v="0"/>
    <x v="0"/>
    <x v="1"/>
    <x v="1"/>
    <x v="7"/>
    <x v="0"/>
  </r>
  <r>
    <x v="24"/>
    <s v="Lara Rocha"/>
    <x v="2"/>
    <x v="23"/>
    <x v="1"/>
    <x v="2"/>
    <x v="0"/>
    <x v="0"/>
    <x v="1"/>
    <x v="1"/>
    <x v="1"/>
    <x v="2"/>
    <x v="2"/>
  </r>
  <r>
    <x v="25"/>
    <s v="Matheus Silva"/>
    <x v="1"/>
    <x v="24"/>
    <x v="0"/>
    <x v="1"/>
    <x v="2"/>
    <x v="0"/>
    <x v="1"/>
    <x v="0"/>
    <x v="0"/>
    <x v="1"/>
    <x v="1"/>
  </r>
  <r>
    <x v="26"/>
    <s v="Nicole Costa"/>
    <x v="2"/>
    <x v="25"/>
    <x v="1"/>
    <x v="2"/>
    <x v="0"/>
    <x v="0"/>
    <x v="0"/>
    <x v="1"/>
    <x v="1"/>
    <x v="0"/>
    <x v="12"/>
  </r>
  <r>
    <x v="27"/>
    <s v="Otávio Mendonça"/>
    <x v="2"/>
    <x v="26"/>
    <x v="0"/>
    <x v="2"/>
    <x v="1"/>
    <x v="0"/>
    <x v="1"/>
    <x v="1"/>
    <x v="1"/>
    <x v="6"/>
    <x v="8"/>
  </r>
  <r>
    <x v="28"/>
    <s v="Paula Ferreira"/>
    <x v="1"/>
    <x v="27"/>
    <x v="1"/>
    <x v="1"/>
    <x v="0"/>
    <x v="0"/>
    <x v="1"/>
    <x v="0"/>
    <x v="0"/>
    <x v="4"/>
    <x v="4"/>
  </r>
  <r>
    <x v="29"/>
    <s v="Raquel Alves"/>
    <x v="2"/>
    <x v="28"/>
    <x v="0"/>
    <x v="2"/>
    <x v="2"/>
    <x v="1"/>
    <x v="2"/>
    <x v="1"/>
    <x v="1"/>
    <x v="10"/>
    <x v="14"/>
  </r>
  <r>
    <x v="30"/>
    <s v="Samuel Pires"/>
    <x v="2"/>
    <x v="29"/>
    <x v="1"/>
    <x v="2"/>
    <x v="0"/>
    <x v="0"/>
    <x v="1"/>
    <x v="1"/>
    <x v="1"/>
    <x v="2"/>
    <x v="2"/>
  </r>
  <r>
    <x v="31"/>
    <s v="Tânia Barros"/>
    <x v="1"/>
    <x v="30"/>
    <x v="0"/>
    <x v="1"/>
    <x v="1"/>
    <x v="0"/>
    <x v="1"/>
    <x v="0"/>
    <x v="0"/>
    <x v="1"/>
    <x v="1"/>
  </r>
  <r>
    <x v="32"/>
    <s v="Vinicius Lima"/>
    <x v="0"/>
    <x v="31"/>
    <x v="1"/>
    <x v="0"/>
    <x v="0"/>
    <x v="1"/>
    <x v="2"/>
    <x v="0"/>
    <x v="0"/>
    <x v="3"/>
    <x v="15"/>
  </r>
  <r>
    <x v="33"/>
    <s v="Yasmin Teixeira"/>
    <x v="2"/>
    <x v="32"/>
    <x v="0"/>
    <x v="2"/>
    <x v="2"/>
    <x v="0"/>
    <x v="1"/>
    <x v="1"/>
    <x v="1"/>
    <x v="6"/>
    <x v="8"/>
  </r>
  <r>
    <x v="34"/>
    <s v="Zé Carlos"/>
    <x v="1"/>
    <x v="33"/>
    <x v="1"/>
    <x v="1"/>
    <x v="0"/>
    <x v="0"/>
    <x v="1"/>
    <x v="0"/>
    <x v="0"/>
    <x v="4"/>
    <x v="4"/>
  </r>
  <r>
    <x v="35"/>
    <s v="Amanda Nogueira"/>
    <x v="1"/>
    <x v="34"/>
    <x v="0"/>
    <x v="1"/>
    <x v="0"/>
    <x v="0"/>
    <x v="1"/>
    <x v="0"/>
    <x v="0"/>
    <x v="1"/>
    <x v="1"/>
  </r>
  <r>
    <x v="36"/>
    <s v="Bruno Cavalheiro"/>
    <x v="0"/>
    <x v="35"/>
    <x v="1"/>
    <x v="0"/>
    <x v="2"/>
    <x v="0"/>
    <x v="0"/>
    <x v="1"/>
    <x v="1"/>
    <x v="10"/>
    <x v="5"/>
  </r>
  <r>
    <x v="37"/>
    <s v="Carla Dias"/>
    <x v="2"/>
    <x v="36"/>
    <x v="0"/>
    <x v="2"/>
    <x v="1"/>
    <x v="0"/>
    <x v="1"/>
    <x v="1"/>
    <x v="1"/>
    <x v="2"/>
    <x v="2"/>
  </r>
  <r>
    <x v="38"/>
    <s v="Diego Fontes"/>
    <x v="1"/>
    <x v="37"/>
    <x v="1"/>
    <x v="1"/>
    <x v="2"/>
    <x v="0"/>
    <x v="1"/>
    <x v="0"/>
    <x v="0"/>
    <x v="4"/>
    <x v="4"/>
  </r>
  <r>
    <x v="39"/>
    <s v="Eunice Lima"/>
    <x v="0"/>
    <x v="38"/>
    <x v="0"/>
    <x v="0"/>
    <x v="0"/>
    <x v="0"/>
    <x v="0"/>
    <x v="1"/>
    <x v="1"/>
    <x v="6"/>
    <x v="2"/>
  </r>
  <r>
    <x v="40"/>
    <s v="Fábio Martins"/>
    <x v="2"/>
    <x v="39"/>
    <x v="1"/>
    <x v="2"/>
    <x v="0"/>
    <x v="0"/>
    <x v="1"/>
    <x v="1"/>
    <x v="1"/>
    <x v="0"/>
    <x v="12"/>
  </r>
  <r>
    <x v="41"/>
    <s v="Gisele Araújo"/>
    <x v="1"/>
    <x v="40"/>
    <x v="0"/>
    <x v="1"/>
    <x v="1"/>
    <x v="0"/>
    <x v="1"/>
    <x v="0"/>
    <x v="0"/>
    <x v="1"/>
    <x v="1"/>
  </r>
  <r>
    <x v="42"/>
    <s v="Hélio Castro"/>
    <x v="1"/>
    <x v="41"/>
    <x v="1"/>
    <x v="1"/>
    <x v="2"/>
    <x v="1"/>
    <x v="2"/>
    <x v="1"/>
    <x v="1"/>
    <x v="7"/>
    <x v="16"/>
  </r>
  <r>
    <x v="43"/>
    <s v="Ingrid Menezes"/>
    <x v="2"/>
    <x v="42"/>
    <x v="0"/>
    <x v="2"/>
    <x v="2"/>
    <x v="0"/>
    <x v="1"/>
    <x v="1"/>
    <x v="1"/>
    <x v="9"/>
    <x v="10"/>
  </r>
  <r>
    <x v="44"/>
    <s v="Jorge Baptista"/>
    <x v="1"/>
    <x v="43"/>
    <x v="1"/>
    <x v="1"/>
    <x v="0"/>
    <x v="0"/>
    <x v="1"/>
    <x v="0"/>
    <x v="0"/>
    <x v="5"/>
    <x v="11"/>
  </r>
  <r>
    <x v="45"/>
    <s v="Kléber Oliveira"/>
    <x v="0"/>
    <x v="44"/>
    <x v="0"/>
    <x v="0"/>
    <x v="1"/>
    <x v="1"/>
    <x v="2"/>
    <x v="0"/>
    <x v="0"/>
    <x v="0"/>
    <x v="17"/>
  </r>
  <r>
    <x v="46"/>
    <s v="Luciana Freitas"/>
    <x v="2"/>
    <x v="45"/>
    <x v="1"/>
    <x v="2"/>
    <x v="0"/>
    <x v="0"/>
    <x v="1"/>
    <x v="1"/>
    <x v="1"/>
    <x v="2"/>
    <x v="2"/>
  </r>
  <r>
    <x v="47"/>
    <s v="Márcia Eller"/>
    <x v="1"/>
    <x v="46"/>
    <x v="0"/>
    <x v="1"/>
    <x v="2"/>
    <x v="0"/>
    <x v="1"/>
    <x v="0"/>
    <x v="0"/>
    <x v="1"/>
    <x v="1"/>
  </r>
  <r>
    <x v="48"/>
    <s v="Nilo Peçanha"/>
    <x v="0"/>
    <x v="47"/>
    <x v="1"/>
    <x v="0"/>
    <x v="0"/>
    <x v="1"/>
    <x v="2"/>
    <x v="1"/>
    <x v="1"/>
    <x v="3"/>
    <x v="18"/>
  </r>
  <r>
    <x v="49"/>
    <s v="Oscar Neves"/>
    <x v="2"/>
    <x v="48"/>
    <x v="0"/>
    <x v="2"/>
    <x v="1"/>
    <x v="0"/>
    <x v="1"/>
    <x v="1"/>
    <x v="1"/>
    <x v="6"/>
    <x v="8"/>
  </r>
  <r>
    <x v="50"/>
    <s v="Patrícia Soares"/>
    <x v="1"/>
    <x v="49"/>
    <x v="1"/>
    <x v="1"/>
    <x v="0"/>
    <x v="0"/>
    <x v="1"/>
    <x v="0"/>
    <x v="0"/>
    <x v="4"/>
    <x v="4"/>
  </r>
  <r>
    <x v="51"/>
    <s v="Quirino Gonçalves"/>
    <x v="0"/>
    <x v="50"/>
    <x v="0"/>
    <x v="0"/>
    <x v="2"/>
    <x v="1"/>
    <x v="2"/>
    <x v="0"/>
    <x v="0"/>
    <x v="10"/>
    <x v="19"/>
  </r>
  <r>
    <x v="52"/>
    <s v="Raul Machado"/>
    <x v="2"/>
    <x v="51"/>
    <x v="1"/>
    <x v="2"/>
    <x v="0"/>
    <x v="0"/>
    <x v="1"/>
    <x v="1"/>
    <x v="1"/>
    <x v="2"/>
    <x v="2"/>
  </r>
  <r>
    <x v="53"/>
    <s v="Sônia Lobo"/>
    <x v="1"/>
    <x v="52"/>
    <x v="0"/>
    <x v="1"/>
    <x v="1"/>
    <x v="0"/>
    <x v="1"/>
    <x v="0"/>
    <x v="0"/>
    <x v="1"/>
    <x v="1"/>
  </r>
  <r>
    <x v="54"/>
    <s v="Tiago Ramos"/>
    <x v="1"/>
    <x v="53"/>
    <x v="1"/>
    <x v="1"/>
    <x v="0"/>
    <x v="1"/>
    <x v="2"/>
    <x v="1"/>
    <x v="1"/>
    <x v="7"/>
    <x v="16"/>
  </r>
  <r>
    <x v="55"/>
    <s v="Ugo Pires"/>
    <x v="2"/>
    <x v="54"/>
    <x v="0"/>
    <x v="2"/>
    <x v="2"/>
    <x v="0"/>
    <x v="1"/>
    <x v="1"/>
    <x v="1"/>
    <x v="6"/>
    <x v="8"/>
  </r>
  <r>
    <x v="56"/>
    <s v="Valéria Nobre"/>
    <x v="1"/>
    <x v="55"/>
    <x v="1"/>
    <x v="1"/>
    <x v="0"/>
    <x v="0"/>
    <x v="1"/>
    <x v="0"/>
    <x v="0"/>
    <x v="4"/>
    <x v="4"/>
  </r>
  <r>
    <x v="57"/>
    <s v="William Siqueira"/>
    <x v="1"/>
    <x v="56"/>
    <x v="0"/>
    <x v="1"/>
    <x v="1"/>
    <x v="1"/>
    <x v="2"/>
    <x v="0"/>
    <x v="0"/>
    <x v="3"/>
    <x v="13"/>
  </r>
  <r>
    <x v="58"/>
    <s v="Xuxa Meneghel"/>
    <x v="2"/>
    <x v="57"/>
    <x v="1"/>
    <x v="2"/>
    <x v="0"/>
    <x v="0"/>
    <x v="1"/>
    <x v="1"/>
    <x v="1"/>
    <x v="2"/>
    <x v="2"/>
  </r>
  <r>
    <x v="59"/>
    <s v="Yara Figueiredo"/>
    <x v="1"/>
    <x v="58"/>
    <x v="0"/>
    <x v="1"/>
    <x v="2"/>
    <x v="0"/>
    <x v="1"/>
    <x v="0"/>
    <x v="0"/>
    <x v="1"/>
    <x v="1"/>
  </r>
  <r>
    <x v="60"/>
    <s v="Zacarias Alves"/>
    <x v="1"/>
    <x v="59"/>
    <x v="1"/>
    <x v="1"/>
    <x v="0"/>
    <x v="1"/>
    <x v="2"/>
    <x v="1"/>
    <x v="1"/>
    <x v="0"/>
    <x v="20"/>
  </r>
  <r>
    <x v="61"/>
    <s v="Amanda Bynes"/>
    <x v="2"/>
    <x v="60"/>
    <x v="0"/>
    <x v="2"/>
    <x v="1"/>
    <x v="0"/>
    <x v="1"/>
    <x v="1"/>
    <x v="1"/>
    <x v="6"/>
    <x v="8"/>
  </r>
  <r>
    <x v="62"/>
    <s v="Bruno Mars"/>
    <x v="1"/>
    <x v="61"/>
    <x v="1"/>
    <x v="1"/>
    <x v="0"/>
    <x v="0"/>
    <x v="1"/>
    <x v="0"/>
    <x v="0"/>
    <x v="4"/>
    <x v="4"/>
  </r>
  <r>
    <x v="63"/>
    <s v="Carla Bruni"/>
    <x v="1"/>
    <x v="62"/>
    <x v="0"/>
    <x v="1"/>
    <x v="2"/>
    <x v="1"/>
    <x v="2"/>
    <x v="1"/>
    <x v="1"/>
    <x v="7"/>
    <x v="16"/>
  </r>
  <r>
    <x v="64"/>
    <s v="Diego Maradona"/>
    <x v="2"/>
    <x v="63"/>
    <x v="1"/>
    <x v="2"/>
    <x v="0"/>
    <x v="0"/>
    <x v="1"/>
    <x v="1"/>
    <x v="1"/>
    <x v="0"/>
    <x v="12"/>
  </r>
  <r>
    <x v="65"/>
    <s v="Estela Marques"/>
    <x v="1"/>
    <x v="64"/>
    <x v="1"/>
    <x v="1"/>
    <x v="0"/>
    <x v="0"/>
    <x v="1"/>
    <x v="0"/>
    <x v="0"/>
    <x v="1"/>
    <x v="1"/>
  </r>
  <r>
    <x v="66"/>
    <s v="Fábio Nobre"/>
    <x v="1"/>
    <x v="65"/>
    <x v="0"/>
    <x v="1"/>
    <x v="2"/>
    <x v="1"/>
    <x v="2"/>
    <x v="1"/>
    <x v="1"/>
    <x v="10"/>
    <x v="21"/>
  </r>
  <r>
    <x v="67"/>
    <s v="Gabriel Oliveira"/>
    <x v="2"/>
    <x v="66"/>
    <x v="1"/>
    <x v="2"/>
    <x v="1"/>
    <x v="0"/>
    <x v="1"/>
    <x v="1"/>
    <x v="1"/>
    <x v="2"/>
    <x v="2"/>
  </r>
  <r>
    <x v="68"/>
    <s v="Helena Santos"/>
    <x v="1"/>
    <x v="67"/>
    <x v="0"/>
    <x v="1"/>
    <x v="2"/>
    <x v="0"/>
    <x v="1"/>
    <x v="0"/>
    <x v="0"/>
    <x v="4"/>
    <x v="4"/>
  </r>
  <r>
    <x v="69"/>
    <s v="Ivan Carvalho"/>
    <x v="1"/>
    <x v="68"/>
    <x v="1"/>
    <x v="1"/>
    <x v="0"/>
    <x v="1"/>
    <x v="2"/>
    <x v="0"/>
    <x v="0"/>
    <x v="6"/>
    <x v="2"/>
  </r>
  <r>
    <x v="70"/>
    <s v="Júlia Ferreira"/>
    <x v="2"/>
    <x v="69"/>
    <x v="0"/>
    <x v="2"/>
    <x v="0"/>
    <x v="0"/>
    <x v="1"/>
    <x v="1"/>
    <x v="1"/>
    <x v="0"/>
    <x v="12"/>
  </r>
  <r>
    <x v="71"/>
    <s v="Karla Alves"/>
    <x v="1"/>
    <x v="70"/>
    <x v="1"/>
    <x v="1"/>
    <x v="1"/>
    <x v="0"/>
    <x v="1"/>
    <x v="0"/>
    <x v="0"/>
    <x v="1"/>
    <x v="1"/>
  </r>
  <r>
    <x v="72"/>
    <s v="Lucas Mendes"/>
    <x v="0"/>
    <x v="71"/>
    <x v="0"/>
    <x v="0"/>
    <x v="2"/>
    <x v="1"/>
    <x v="2"/>
    <x v="1"/>
    <x v="1"/>
    <x v="7"/>
    <x v="22"/>
  </r>
  <r>
    <x v="73"/>
    <s v="Mônica Gomes"/>
    <x v="2"/>
    <x v="72"/>
    <x v="1"/>
    <x v="2"/>
    <x v="2"/>
    <x v="0"/>
    <x v="1"/>
    <x v="1"/>
    <x v="1"/>
    <x v="9"/>
    <x v="10"/>
  </r>
  <r>
    <x v="74"/>
    <s v="Norberto Queiroz"/>
    <x v="1"/>
    <x v="73"/>
    <x v="0"/>
    <x v="1"/>
    <x v="0"/>
    <x v="0"/>
    <x v="1"/>
    <x v="0"/>
    <x v="0"/>
    <x v="5"/>
    <x v="11"/>
  </r>
  <r>
    <x v="75"/>
    <s v="Otávio Barros"/>
    <x v="0"/>
    <x v="74"/>
    <x v="1"/>
    <x v="0"/>
    <x v="1"/>
    <x v="1"/>
    <x v="2"/>
    <x v="1"/>
    <x v="1"/>
    <x v="0"/>
    <x v="7"/>
  </r>
  <r>
    <x v="76"/>
    <s v="Paula Vieira"/>
    <x v="2"/>
    <x v="75"/>
    <x v="0"/>
    <x v="2"/>
    <x v="0"/>
    <x v="0"/>
    <x v="1"/>
    <x v="1"/>
    <x v="1"/>
    <x v="2"/>
    <x v="2"/>
  </r>
  <r>
    <x v="77"/>
    <s v="Quentin Ramos"/>
    <x v="1"/>
    <x v="76"/>
    <x v="1"/>
    <x v="1"/>
    <x v="2"/>
    <x v="0"/>
    <x v="1"/>
    <x v="0"/>
    <x v="0"/>
    <x v="1"/>
    <x v="1"/>
  </r>
  <r>
    <x v="78"/>
    <s v="Raquel Novaes"/>
    <x v="2"/>
    <x v="77"/>
    <x v="0"/>
    <x v="2"/>
    <x v="0"/>
    <x v="1"/>
    <x v="2"/>
    <x v="1"/>
    <x v="1"/>
    <x v="3"/>
    <x v="23"/>
  </r>
  <r>
    <x v="79"/>
    <s v="Samantha Lopes"/>
    <x v="2"/>
    <x v="78"/>
    <x v="1"/>
    <x v="2"/>
    <x v="1"/>
    <x v="0"/>
    <x v="1"/>
    <x v="1"/>
    <x v="1"/>
    <x v="6"/>
    <x v="8"/>
  </r>
  <r>
    <x v="80"/>
    <s v="Tiago Martins"/>
    <x v="1"/>
    <x v="79"/>
    <x v="0"/>
    <x v="1"/>
    <x v="0"/>
    <x v="0"/>
    <x v="1"/>
    <x v="0"/>
    <x v="0"/>
    <x v="4"/>
    <x v="4"/>
  </r>
  <r>
    <x v="81"/>
    <s v="Ulysses Guimarães"/>
    <x v="2"/>
    <x v="80"/>
    <x v="1"/>
    <x v="2"/>
    <x v="2"/>
    <x v="1"/>
    <x v="2"/>
    <x v="1"/>
    <x v="1"/>
    <x v="10"/>
    <x v="14"/>
  </r>
  <r>
    <x v="82"/>
    <s v="Vanessa Silva"/>
    <x v="2"/>
    <x v="81"/>
    <x v="0"/>
    <x v="2"/>
    <x v="0"/>
    <x v="0"/>
    <x v="1"/>
    <x v="1"/>
    <x v="1"/>
    <x v="2"/>
    <x v="2"/>
  </r>
  <r>
    <x v="83"/>
    <s v="William Carneiro"/>
    <x v="1"/>
    <x v="82"/>
    <x v="1"/>
    <x v="1"/>
    <x v="1"/>
    <x v="0"/>
    <x v="1"/>
    <x v="0"/>
    <x v="0"/>
    <x v="1"/>
    <x v="1"/>
  </r>
  <r>
    <x v="84"/>
    <s v="Ximena Rocha"/>
    <x v="2"/>
    <x v="83"/>
    <x v="0"/>
    <x v="2"/>
    <x v="0"/>
    <x v="1"/>
    <x v="2"/>
    <x v="1"/>
    <x v="1"/>
    <x v="7"/>
    <x v="17"/>
  </r>
  <r>
    <x v="85"/>
    <s v="Yasmin Figueiredo"/>
    <x v="2"/>
    <x v="84"/>
    <x v="1"/>
    <x v="2"/>
    <x v="2"/>
    <x v="0"/>
    <x v="1"/>
    <x v="1"/>
    <x v="1"/>
    <x v="6"/>
    <x v="8"/>
  </r>
  <r>
    <x v="86"/>
    <s v="Zara Cunha"/>
    <x v="1"/>
    <x v="85"/>
    <x v="0"/>
    <x v="1"/>
    <x v="0"/>
    <x v="0"/>
    <x v="1"/>
    <x v="0"/>
    <x v="0"/>
    <x v="4"/>
    <x v="4"/>
  </r>
  <r>
    <x v="87"/>
    <s v="Alan Teixeira"/>
    <x v="2"/>
    <x v="86"/>
    <x v="1"/>
    <x v="2"/>
    <x v="1"/>
    <x v="1"/>
    <x v="2"/>
    <x v="1"/>
    <x v="1"/>
    <x v="3"/>
    <x v="23"/>
  </r>
  <r>
    <x v="88"/>
    <s v="Bárbara Oliveira"/>
    <x v="2"/>
    <x v="87"/>
    <x v="0"/>
    <x v="2"/>
    <x v="0"/>
    <x v="0"/>
    <x v="1"/>
    <x v="1"/>
    <x v="1"/>
    <x v="2"/>
    <x v="2"/>
  </r>
  <r>
    <x v="89"/>
    <s v="Carlos Junqueira"/>
    <x v="1"/>
    <x v="88"/>
    <x v="1"/>
    <x v="1"/>
    <x v="2"/>
    <x v="0"/>
    <x v="1"/>
    <x v="0"/>
    <x v="0"/>
    <x v="1"/>
    <x v="1"/>
  </r>
  <r>
    <x v="90"/>
    <s v="Daniela Moura"/>
    <x v="2"/>
    <x v="89"/>
    <x v="0"/>
    <x v="2"/>
    <x v="0"/>
    <x v="1"/>
    <x v="2"/>
    <x v="0"/>
    <x v="0"/>
    <x v="0"/>
    <x v="16"/>
  </r>
  <r>
    <x v="91"/>
    <s v="Eduardo Lima"/>
    <x v="2"/>
    <x v="90"/>
    <x v="1"/>
    <x v="2"/>
    <x v="1"/>
    <x v="0"/>
    <x v="1"/>
    <x v="1"/>
    <x v="1"/>
    <x v="6"/>
    <x v="8"/>
  </r>
  <r>
    <x v="92"/>
    <s v="Fabiana Araújo"/>
    <x v="1"/>
    <x v="91"/>
    <x v="0"/>
    <x v="1"/>
    <x v="0"/>
    <x v="0"/>
    <x v="1"/>
    <x v="0"/>
    <x v="0"/>
    <x v="4"/>
    <x v="4"/>
  </r>
  <r>
    <x v="93"/>
    <s v="Geraldo Ribeiro"/>
    <x v="2"/>
    <x v="92"/>
    <x v="1"/>
    <x v="2"/>
    <x v="2"/>
    <x v="1"/>
    <x v="2"/>
    <x v="1"/>
    <x v="1"/>
    <x v="7"/>
    <x v="17"/>
  </r>
  <r>
    <x v="94"/>
    <s v="Héctor Vargas"/>
    <x v="2"/>
    <x v="93"/>
    <x v="0"/>
    <x v="2"/>
    <x v="2"/>
    <x v="0"/>
    <x v="1"/>
    <x v="1"/>
    <x v="1"/>
    <x v="6"/>
    <x v="8"/>
  </r>
  <r>
    <x v="95"/>
    <s v="Isabela Fonseca"/>
    <x v="1"/>
    <x v="94"/>
    <x v="1"/>
    <x v="1"/>
    <x v="1"/>
    <x v="0"/>
    <x v="1"/>
    <x v="0"/>
    <x v="0"/>
    <x v="1"/>
    <x v="1"/>
  </r>
  <r>
    <x v="96"/>
    <s v="João Pedro Almeida"/>
    <x v="2"/>
    <x v="95"/>
    <x v="0"/>
    <x v="2"/>
    <x v="0"/>
    <x v="1"/>
    <x v="2"/>
    <x v="1"/>
    <x v="1"/>
    <x v="10"/>
    <x v="14"/>
  </r>
  <r>
    <x v="97"/>
    <s v="Klara Costa"/>
    <x v="2"/>
    <x v="96"/>
    <x v="1"/>
    <x v="2"/>
    <x v="1"/>
    <x v="0"/>
    <x v="1"/>
    <x v="1"/>
    <x v="1"/>
    <x v="2"/>
    <x v="2"/>
  </r>
  <r>
    <x v="98"/>
    <s v="Luciana Mendes"/>
    <x v="1"/>
    <x v="97"/>
    <x v="0"/>
    <x v="1"/>
    <x v="2"/>
    <x v="0"/>
    <x v="1"/>
    <x v="0"/>
    <x v="0"/>
    <x v="4"/>
    <x v="4"/>
  </r>
  <r>
    <x v="99"/>
    <s v="Marcelo Gouveia"/>
    <x v="0"/>
    <x v="98"/>
    <x v="1"/>
    <x v="0"/>
    <x v="0"/>
    <x v="1"/>
    <x v="2"/>
    <x v="1"/>
    <x v="1"/>
    <x v="6"/>
    <x v="20"/>
  </r>
  <r>
    <x v="100"/>
    <s v="Nívea Borges"/>
    <x v="2"/>
    <x v="99"/>
    <x v="0"/>
    <x v="2"/>
    <x v="0"/>
    <x v="0"/>
    <x v="1"/>
    <x v="1"/>
    <x v="1"/>
    <x v="0"/>
    <x v="12"/>
  </r>
  <r>
    <x v="101"/>
    <s v="Oscar Nogueira"/>
    <x v="1"/>
    <x v="100"/>
    <x v="1"/>
    <x v="1"/>
    <x v="1"/>
    <x v="0"/>
    <x v="1"/>
    <x v="0"/>
    <x v="0"/>
    <x v="1"/>
    <x v="1"/>
  </r>
  <r>
    <x v="102"/>
    <s v="Patrícia Alves"/>
    <x v="0"/>
    <x v="101"/>
    <x v="0"/>
    <x v="0"/>
    <x v="2"/>
    <x v="1"/>
    <x v="2"/>
    <x v="1"/>
    <x v="1"/>
    <x v="7"/>
    <x v="22"/>
  </r>
  <r>
    <x v="103"/>
    <s v="Rafaela Silva"/>
    <x v="2"/>
    <x v="102"/>
    <x v="1"/>
    <x v="2"/>
    <x v="2"/>
    <x v="0"/>
    <x v="1"/>
    <x v="1"/>
    <x v="1"/>
    <x v="9"/>
    <x v="10"/>
  </r>
  <r>
    <x v="104"/>
    <s v="Samantha Moraes"/>
    <x v="1"/>
    <x v="103"/>
    <x v="0"/>
    <x v="1"/>
    <x v="0"/>
    <x v="0"/>
    <x v="1"/>
    <x v="0"/>
    <x v="0"/>
    <x v="5"/>
    <x v="11"/>
  </r>
  <r>
    <x v="105"/>
    <s v="Tatiana Rocha"/>
    <x v="1"/>
    <x v="104"/>
    <x v="0"/>
    <x v="1"/>
    <x v="0"/>
    <x v="0"/>
    <x v="1"/>
    <x v="0"/>
    <x v="0"/>
    <x v="1"/>
    <x v="1"/>
  </r>
  <r>
    <x v="106"/>
    <s v="Ulisses Tavares"/>
    <x v="1"/>
    <x v="105"/>
    <x v="1"/>
    <x v="1"/>
    <x v="2"/>
    <x v="1"/>
    <x v="2"/>
    <x v="1"/>
    <x v="1"/>
    <x v="10"/>
    <x v="21"/>
  </r>
  <r>
    <x v="107"/>
    <s v="Víctor Lemos"/>
    <x v="2"/>
    <x v="106"/>
    <x v="0"/>
    <x v="2"/>
    <x v="1"/>
    <x v="0"/>
    <x v="1"/>
    <x v="1"/>
    <x v="1"/>
    <x v="2"/>
    <x v="2"/>
  </r>
  <r>
    <x v="108"/>
    <s v="Wilma Barros"/>
    <x v="1"/>
    <x v="107"/>
    <x v="1"/>
    <x v="1"/>
    <x v="2"/>
    <x v="0"/>
    <x v="1"/>
    <x v="0"/>
    <x v="0"/>
    <x v="4"/>
    <x v="4"/>
  </r>
  <r>
    <x v="109"/>
    <s v="Xavier Nascimento"/>
    <x v="0"/>
    <x v="108"/>
    <x v="0"/>
    <x v="0"/>
    <x v="0"/>
    <x v="1"/>
    <x v="2"/>
    <x v="1"/>
    <x v="1"/>
    <x v="6"/>
    <x v="20"/>
  </r>
  <r>
    <x v="110"/>
    <s v="Yago Pereira"/>
    <x v="2"/>
    <x v="109"/>
    <x v="1"/>
    <x v="2"/>
    <x v="0"/>
    <x v="0"/>
    <x v="1"/>
    <x v="1"/>
    <x v="1"/>
    <x v="0"/>
    <x v="12"/>
  </r>
  <r>
    <x v="111"/>
    <s v="Zilda Ferreira"/>
    <x v="1"/>
    <x v="110"/>
    <x v="0"/>
    <x v="1"/>
    <x v="1"/>
    <x v="0"/>
    <x v="1"/>
    <x v="0"/>
    <x v="0"/>
    <x v="1"/>
    <x v="1"/>
  </r>
  <r>
    <x v="112"/>
    <s v="Amanda Lopes"/>
    <x v="2"/>
    <x v="111"/>
    <x v="1"/>
    <x v="2"/>
    <x v="2"/>
    <x v="1"/>
    <x v="2"/>
    <x v="1"/>
    <x v="1"/>
    <x v="7"/>
    <x v="17"/>
  </r>
  <r>
    <x v="113"/>
    <s v="Bruno Miranda"/>
    <x v="2"/>
    <x v="112"/>
    <x v="0"/>
    <x v="2"/>
    <x v="2"/>
    <x v="0"/>
    <x v="1"/>
    <x v="1"/>
    <x v="1"/>
    <x v="9"/>
    <x v="10"/>
  </r>
  <r>
    <x v="114"/>
    <s v="Célia Torres"/>
    <x v="1"/>
    <x v="113"/>
    <x v="1"/>
    <x v="1"/>
    <x v="0"/>
    <x v="0"/>
    <x v="1"/>
    <x v="0"/>
    <x v="0"/>
    <x v="5"/>
    <x v="11"/>
  </r>
  <r>
    <x v="115"/>
    <s v="Diogo Souza"/>
    <x v="2"/>
    <x v="114"/>
    <x v="0"/>
    <x v="2"/>
    <x v="1"/>
    <x v="1"/>
    <x v="2"/>
    <x v="1"/>
    <x v="1"/>
    <x v="0"/>
    <x v="6"/>
  </r>
  <r>
    <x v="116"/>
    <s v="Elisa Castro"/>
    <x v="2"/>
    <x v="115"/>
    <x v="1"/>
    <x v="2"/>
    <x v="0"/>
    <x v="0"/>
    <x v="1"/>
    <x v="1"/>
    <x v="1"/>
    <x v="2"/>
    <x v="2"/>
  </r>
  <r>
    <x v="117"/>
    <s v="Fátima Lima"/>
    <x v="1"/>
    <x v="116"/>
    <x v="0"/>
    <x v="1"/>
    <x v="2"/>
    <x v="0"/>
    <x v="1"/>
    <x v="0"/>
    <x v="0"/>
    <x v="1"/>
    <x v="1"/>
  </r>
  <r>
    <x v="118"/>
    <s v="Geraldo Ribeiro"/>
    <x v="2"/>
    <x v="117"/>
    <x v="1"/>
    <x v="2"/>
    <x v="0"/>
    <x v="1"/>
    <x v="2"/>
    <x v="1"/>
    <x v="1"/>
    <x v="3"/>
    <x v="23"/>
  </r>
  <r>
    <x v="119"/>
    <s v="Hélio Martins"/>
    <x v="2"/>
    <x v="118"/>
    <x v="0"/>
    <x v="2"/>
    <x v="1"/>
    <x v="0"/>
    <x v="1"/>
    <x v="1"/>
    <x v="1"/>
    <x v="6"/>
    <x v="8"/>
  </r>
  <r>
    <x v="120"/>
    <s v="Íris Santos"/>
    <x v="1"/>
    <x v="119"/>
    <x v="1"/>
    <x v="1"/>
    <x v="0"/>
    <x v="0"/>
    <x v="1"/>
    <x v="0"/>
    <x v="0"/>
    <x v="4"/>
    <x v="4"/>
  </r>
  <r>
    <x v="121"/>
    <s v="João Marcelo"/>
    <x v="2"/>
    <x v="120"/>
    <x v="0"/>
    <x v="2"/>
    <x v="2"/>
    <x v="1"/>
    <x v="2"/>
    <x v="1"/>
    <x v="1"/>
    <x v="10"/>
    <x v="14"/>
  </r>
  <r>
    <x v="122"/>
    <s v="Larissa Gomes"/>
    <x v="2"/>
    <x v="121"/>
    <x v="1"/>
    <x v="2"/>
    <x v="0"/>
    <x v="0"/>
    <x v="1"/>
    <x v="1"/>
    <x v="1"/>
    <x v="2"/>
    <x v="2"/>
  </r>
  <r>
    <x v="123"/>
    <s v="Márcio Silva"/>
    <x v="1"/>
    <x v="122"/>
    <x v="0"/>
    <x v="1"/>
    <x v="1"/>
    <x v="0"/>
    <x v="1"/>
    <x v="0"/>
    <x v="0"/>
    <x v="1"/>
    <x v="1"/>
  </r>
  <r>
    <x v="124"/>
    <s v="Nadia Costa"/>
    <x v="2"/>
    <x v="123"/>
    <x v="1"/>
    <x v="2"/>
    <x v="0"/>
    <x v="1"/>
    <x v="2"/>
    <x v="1"/>
    <x v="1"/>
    <x v="7"/>
    <x v="17"/>
  </r>
  <r>
    <x v="125"/>
    <s v="Oscar Almeida"/>
    <x v="2"/>
    <x v="124"/>
    <x v="0"/>
    <x v="2"/>
    <x v="2"/>
    <x v="0"/>
    <x v="1"/>
    <x v="1"/>
    <x v="1"/>
    <x v="6"/>
    <x v="8"/>
  </r>
  <r>
    <x v="126"/>
    <s v="Patricia Soares"/>
    <x v="1"/>
    <x v="125"/>
    <x v="1"/>
    <x v="1"/>
    <x v="0"/>
    <x v="0"/>
    <x v="1"/>
    <x v="0"/>
    <x v="0"/>
    <x v="4"/>
    <x v="4"/>
  </r>
  <r>
    <x v="127"/>
    <s v="Quênia Barros"/>
    <x v="1"/>
    <x v="126"/>
    <x v="0"/>
    <x v="1"/>
    <x v="1"/>
    <x v="1"/>
    <x v="2"/>
    <x v="1"/>
    <x v="1"/>
    <x v="3"/>
    <x v="24"/>
  </r>
  <r>
    <x v="128"/>
    <s v="Rafael Torres"/>
    <x v="2"/>
    <x v="127"/>
    <x v="1"/>
    <x v="2"/>
    <x v="0"/>
    <x v="0"/>
    <x v="1"/>
    <x v="1"/>
    <x v="1"/>
    <x v="2"/>
    <x v="2"/>
  </r>
  <r>
    <x v="129"/>
    <s v="Silvia Nascimento"/>
    <x v="1"/>
    <x v="128"/>
    <x v="0"/>
    <x v="1"/>
    <x v="2"/>
    <x v="0"/>
    <x v="1"/>
    <x v="0"/>
    <x v="0"/>
    <x v="1"/>
    <x v="1"/>
  </r>
  <r>
    <x v="130"/>
    <s v="Tiago Mendes"/>
    <x v="0"/>
    <x v="129"/>
    <x v="1"/>
    <x v="0"/>
    <x v="0"/>
    <x v="1"/>
    <x v="2"/>
    <x v="1"/>
    <x v="1"/>
    <x v="6"/>
    <x v="20"/>
  </r>
  <r>
    <x v="131"/>
    <s v="Ursula Silva"/>
    <x v="2"/>
    <x v="130"/>
    <x v="0"/>
    <x v="2"/>
    <x v="1"/>
    <x v="0"/>
    <x v="1"/>
    <x v="1"/>
    <x v="1"/>
    <x v="6"/>
    <x v="8"/>
  </r>
  <r>
    <x v="132"/>
    <s v="Vanessa Moraes"/>
    <x v="1"/>
    <x v="131"/>
    <x v="1"/>
    <x v="1"/>
    <x v="0"/>
    <x v="0"/>
    <x v="1"/>
    <x v="0"/>
    <x v="0"/>
    <x v="4"/>
    <x v="4"/>
  </r>
  <r>
    <x v="133"/>
    <s v="Waldir Junior"/>
    <x v="0"/>
    <x v="132"/>
    <x v="0"/>
    <x v="0"/>
    <x v="2"/>
    <x v="1"/>
    <x v="2"/>
    <x v="1"/>
    <x v="1"/>
    <x v="10"/>
    <x v="25"/>
  </r>
  <r>
    <x v="134"/>
    <s v="Xavier Lopes"/>
    <x v="2"/>
    <x v="133"/>
    <x v="1"/>
    <x v="2"/>
    <x v="0"/>
    <x v="0"/>
    <x v="1"/>
    <x v="1"/>
    <x v="1"/>
    <x v="2"/>
    <x v="2"/>
  </r>
  <r>
    <x v="135"/>
    <s v="Yolanda Freitas"/>
    <x v="1"/>
    <x v="134"/>
    <x v="0"/>
    <x v="1"/>
    <x v="0"/>
    <x v="0"/>
    <x v="1"/>
    <x v="0"/>
    <x v="0"/>
    <x v="1"/>
    <x v="1"/>
  </r>
  <r>
    <x v="136"/>
    <s v="Zacarias Nunes"/>
    <x v="0"/>
    <x v="135"/>
    <x v="1"/>
    <x v="0"/>
    <x v="2"/>
    <x v="0"/>
    <x v="0"/>
    <x v="1"/>
    <x v="1"/>
    <x v="10"/>
    <x v="5"/>
  </r>
  <r>
    <x v="137"/>
    <s v="Ana Clara Barreto"/>
    <x v="2"/>
    <x v="136"/>
    <x v="0"/>
    <x v="2"/>
    <x v="1"/>
    <x v="0"/>
    <x v="1"/>
    <x v="1"/>
    <x v="1"/>
    <x v="2"/>
    <x v="2"/>
  </r>
  <r>
    <x v="138"/>
    <s v="Bruno Henrique"/>
    <x v="1"/>
    <x v="137"/>
    <x v="1"/>
    <x v="1"/>
    <x v="2"/>
    <x v="0"/>
    <x v="1"/>
    <x v="0"/>
    <x v="0"/>
    <x v="4"/>
    <x v="4"/>
  </r>
  <r>
    <x v="139"/>
    <s v="Carlos Eduardo"/>
    <x v="0"/>
    <x v="138"/>
    <x v="0"/>
    <x v="0"/>
    <x v="0"/>
    <x v="0"/>
    <x v="0"/>
    <x v="1"/>
    <x v="1"/>
    <x v="6"/>
    <x v="2"/>
  </r>
  <r>
    <x v="140"/>
    <s v="Débora Lima"/>
    <x v="2"/>
    <x v="139"/>
    <x v="1"/>
    <x v="2"/>
    <x v="0"/>
    <x v="0"/>
    <x v="1"/>
    <x v="1"/>
    <x v="1"/>
    <x v="0"/>
    <x v="12"/>
  </r>
  <r>
    <x v="141"/>
    <s v="Elisa Neves"/>
    <x v="1"/>
    <x v="140"/>
    <x v="0"/>
    <x v="1"/>
    <x v="1"/>
    <x v="0"/>
    <x v="1"/>
    <x v="0"/>
    <x v="0"/>
    <x v="1"/>
    <x v="1"/>
  </r>
  <r>
    <x v="142"/>
    <s v="Fabiano Gomes"/>
    <x v="2"/>
    <x v="141"/>
    <x v="1"/>
    <x v="2"/>
    <x v="2"/>
    <x v="0"/>
    <x v="0"/>
    <x v="1"/>
    <x v="1"/>
    <x v="7"/>
    <x v="0"/>
  </r>
  <r>
    <x v="143"/>
    <s v="Gisele Oliveira"/>
    <x v="2"/>
    <x v="142"/>
    <x v="0"/>
    <x v="2"/>
    <x v="2"/>
    <x v="0"/>
    <x v="1"/>
    <x v="1"/>
    <x v="1"/>
    <x v="9"/>
    <x v="10"/>
  </r>
  <r>
    <x v="144"/>
    <s v="Héctor Silva"/>
    <x v="1"/>
    <x v="143"/>
    <x v="1"/>
    <x v="1"/>
    <x v="0"/>
    <x v="0"/>
    <x v="1"/>
    <x v="0"/>
    <x v="0"/>
    <x v="5"/>
    <x v="11"/>
  </r>
  <r>
    <x v="145"/>
    <s v="Igor Martins"/>
    <x v="2"/>
    <x v="144"/>
    <x v="0"/>
    <x v="2"/>
    <x v="1"/>
    <x v="0"/>
    <x v="0"/>
    <x v="1"/>
    <x v="1"/>
    <x v="0"/>
    <x v="12"/>
  </r>
  <r>
    <x v="146"/>
    <s v="Joana Figueiredo"/>
    <x v="2"/>
    <x v="145"/>
    <x v="1"/>
    <x v="2"/>
    <x v="0"/>
    <x v="0"/>
    <x v="1"/>
    <x v="1"/>
    <x v="1"/>
    <x v="2"/>
    <x v="2"/>
  </r>
  <r>
    <x v="147"/>
    <s v="Kleber Machado"/>
    <x v="1"/>
    <x v="146"/>
    <x v="0"/>
    <x v="1"/>
    <x v="2"/>
    <x v="0"/>
    <x v="1"/>
    <x v="0"/>
    <x v="0"/>
    <x v="1"/>
    <x v="1"/>
  </r>
  <r>
    <x v="148"/>
    <s v="Luciana Santos"/>
    <x v="2"/>
    <x v="147"/>
    <x v="1"/>
    <x v="2"/>
    <x v="0"/>
    <x v="1"/>
    <x v="2"/>
    <x v="1"/>
    <x v="1"/>
    <x v="3"/>
    <x v="23"/>
  </r>
  <r>
    <x v="149"/>
    <s v="Marcos Teixeira"/>
    <x v="2"/>
    <x v="148"/>
    <x v="0"/>
    <x v="2"/>
    <x v="1"/>
    <x v="0"/>
    <x v="1"/>
    <x v="1"/>
    <x v="1"/>
    <x v="6"/>
    <x v="8"/>
  </r>
  <r>
    <x v="150"/>
    <s v="Natalia Costa"/>
    <x v="1"/>
    <x v="149"/>
    <x v="1"/>
    <x v="1"/>
    <x v="0"/>
    <x v="0"/>
    <x v="1"/>
    <x v="0"/>
    <x v="0"/>
    <x v="4"/>
    <x v="4"/>
  </r>
  <r>
    <x v="151"/>
    <s v="Oscar Ribeiro"/>
    <x v="2"/>
    <x v="150"/>
    <x v="0"/>
    <x v="2"/>
    <x v="2"/>
    <x v="1"/>
    <x v="2"/>
    <x v="1"/>
    <x v="1"/>
    <x v="10"/>
    <x v="14"/>
  </r>
  <r>
    <x v="152"/>
    <s v="Patricia Almeida"/>
    <x v="2"/>
    <x v="151"/>
    <x v="1"/>
    <x v="2"/>
    <x v="0"/>
    <x v="0"/>
    <x v="1"/>
    <x v="1"/>
    <x v="1"/>
    <x v="2"/>
    <x v="2"/>
  </r>
  <r>
    <x v="153"/>
    <s v="Quirino Junior"/>
    <x v="1"/>
    <x v="152"/>
    <x v="0"/>
    <x v="1"/>
    <x v="1"/>
    <x v="0"/>
    <x v="1"/>
    <x v="0"/>
    <x v="0"/>
    <x v="1"/>
    <x v="1"/>
  </r>
  <r>
    <x v="154"/>
    <s v="Renata Machado"/>
    <x v="2"/>
    <x v="153"/>
    <x v="1"/>
    <x v="2"/>
    <x v="0"/>
    <x v="1"/>
    <x v="2"/>
    <x v="1"/>
    <x v="1"/>
    <x v="7"/>
    <x v="17"/>
  </r>
  <r>
    <x v="155"/>
    <s v="Sônia Alves"/>
    <x v="2"/>
    <x v="154"/>
    <x v="0"/>
    <x v="2"/>
    <x v="2"/>
    <x v="0"/>
    <x v="1"/>
    <x v="1"/>
    <x v="1"/>
    <x v="6"/>
    <x v="8"/>
  </r>
  <r>
    <x v="156"/>
    <s v="Tiago Nunes"/>
    <x v="1"/>
    <x v="155"/>
    <x v="1"/>
    <x v="1"/>
    <x v="0"/>
    <x v="0"/>
    <x v="1"/>
    <x v="0"/>
    <x v="0"/>
    <x v="4"/>
    <x v="4"/>
  </r>
  <r>
    <x v="157"/>
    <s v="Ulysses Pereira"/>
    <x v="1"/>
    <x v="156"/>
    <x v="0"/>
    <x v="1"/>
    <x v="1"/>
    <x v="1"/>
    <x v="2"/>
    <x v="1"/>
    <x v="1"/>
    <x v="3"/>
    <x v="24"/>
  </r>
  <r>
    <x v="158"/>
    <s v="Vanessa Lima"/>
    <x v="2"/>
    <x v="157"/>
    <x v="1"/>
    <x v="2"/>
    <x v="0"/>
    <x v="0"/>
    <x v="1"/>
    <x v="1"/>
    <x v="1"/>
    <x v="2"/>
    <x v="2"/>
  </r>
  <r>
    <x v="159"/>
    <s v="Wagner Santos"/>
    <x v="1"/>
    <x v="158"/>
    <x v="0"/>
    <x v="1"/>
    <x v="2"/>
    <x v="0"/>
    <x v="1"/>
    <x v="0"/>
    <x v="0"/>
    <x v="1"/>
    <x v="1"/>
  </r>
  <r>
    <x v="160"/>
    <s v="Xuxa Meneghel"/>
    <x v="1"/>
    <x v="159"/>
    <x v="1"/>
    <x v="1"/>
    <x v="0"/>
    <x v="1"/>
    <x v="2"/>
    <x v="1"/>
    <x v="1"/>
    <x v="6"/>
    <x v="17"/>
  </r>
  <r>
    <x v="161"/>
    <s v="Yasmin Silva"/>
    <x v="2"/>
    <x v="160"/>
    <x v="0"/>
    <x v="2"/>
    <x v="1"/>
    <x v="0"/>
    <x v="1"/>
    <x v="1"/>
    <x v="1"/>
    <x v="6"/>
    <x v="8"/>
  </r>
  <r>
    <x v="162"/>
    <s v="Zacarias de Souza"/>
    <x v="1"/>
    <x v="161"/>
    <x v="1"/>
    <x v="1"/>
    <x v="0"/>
    <x v="0"/>
    <x v="1"/>
    <x v="0"/>
    <x v="0"/>
    <x v="4"/>
    <x v="4"/>
  </r>
  <r>
    <x v="163"/>
    <s v="André Lima"/>
    <x v="0"/>
    <x v="162"/>
    <x v="0"/>
    <x v="0"/>
    <x v="2"/>
    <x v="1"/>
    <x v="2"/>
    <x v="1"/>
    <x v="1"/>
    <x v="10"/>
    <x v="25"/>
  </r>
  <r>
    <x v="164"/>
    <s v="Bianca Freitas"/>
    <x v="2"/>
    <x v="163"/>
    <x v="1"/>
    <x v="2"/>
    <x v="0"/>
    <x v="0"/>
    <x v="1"/>
    <x v="1"/>
    <x v="1"/>
    <x v="2"/>
    <x v="2"/>
  </r>
  <r>
    <x v="165"/>
    <s v="Caio Mendes"/>
    <x v="1"/>
    <x v="164"/>
    <x v="0"/>
    <x v="1"/>
    <x v="1"/>
    <x v="0"/>
    <x v="1"/>
    <x v="0"/>
    <x v="0"/>
    <x v="1"/>
    <x v="1"/>
  </r>
  <r>
    <x v="166"/>
    <s v="Daniela Moura"/>
    <x v="0"/>
    <x v="165"/>
    <x v="1"/>
    <x v="0"/>
    <x v="0"/>
    <x v="1"/>
    <x v="2"/>
    <x v="1"/>
    <x v="1"/>
    <x v="7"/>
    <x v="22"/>
  </r>
  <r>
    <x v="167"/>
    <s v="Eduardo Costa"/>
    <x v="2"/>
    <x v="166"/>
    <x v="0"/>
    <x v="2"/>
    <x v="2"/>
    <x v="0"/>
    <x v="1"/>
    <x v="1"/>
    <x v="1"/>
    <x v="6"/>
    <x v="8"/>
  </r>
  <r>
    <x v="168"/>
    <s v="Fernanda Gomes"/>
    <x v="1"/>
    <x v="167"/>
    <x v="1"/>
    <x v="1"/>
    <x v="0"/>
    <x v="0"/>
    <x v="1"/>
    <x v="0"/>
    <x v="0"/>
    <x v="4"/>
    <x v="4"/>
  </r>
  <r>
    <x v="169"/>
    <s v="Guilherme Souza"/>
    <x v="0"/>
    <x v="168"/>
    <x v="0"/>
    <x v="0"/>
    <x v="1"/>
    <x v="1"/>
    <x v="2"/>
    <x v="1"/>
    <x v="1"/>
    <x v="0"/>
    <x v="7"/>
  </r>
  <r>
    <x v="170"/>
    <s v="Helena Ribeiro"/>
    <x v="2"/>
    <x v="169"/>
    <x v="1"/>
    <x v="2"/>
    <x v="0"/>
    <x v="0"/>
    <x v="1"/>
    <x v="1"/>
    <x v="1"/>
    <x v="2"/>
    <x v="2"/>
  </r>
  <r>
    <x v="171"/>
    <s v="Igor Santos"/>
    <x v="1"/>
    <x v="170"/>
    <x v="0"/>
    <x v="1"/>
    <x v="2"/>
    <x v="0"/>
    <x v="1"/>
    <x v="0"/>
    <x v="0"/>
    <x v="1"/>
    <x v="1"/>
  </r>
  <r>
    <x v="172"/>
    <s v="João Carvalho"/>
    <x v="1"/>
    <x v="171"/>
    <x v="1"/>
    <x v="1"/>
    <x v="0"/>
    <x v="1"/>
    <x v="2"/>
    <x v="1"/>
    <x v="1"/>
    <x v="3"/>
    <x v="24"/>
  </r>
  <r>
    <x v="173"/>
    <s v="Klara Fagundes"/>
    <x v="2"/>
    <x v="172"/>
    <x v="0"/>
    <x v="2"/>
    <x v="1"/>
    <x v="0"/>
    <x v="1"/>
    <x v="1"/>
    <x v="1"/>
    <x v="6"/>
    <x v="8"/>
  </r>
  <r>
    <x v="174"/>
    <s v="Lúcia Mendonça"/>
    <x v="1"/>
    <x v="173"/>
    <x v="1"/>
    <x v="1"/>
    <x v="0"/>
    <x v="0"/>
    <x v="1"/>
    <x v="0"/>
    <x v="0"/>
    <x v="4"/>
    <x v="4"/>
  </r>
  <r>
    <x v="175"/>
    <s v="Marcelo Novaes"/>
    <x v="1"/>
    <x v="174"/>
    <x v="0"/>
    <x v="1"/>
    <x v="0"/>
    <x v="0"/>
    <x v="1"/>
    <x v="0"/>
    <x v="0"/>
    <x v="1"/>
    <x v="1"/>
  </r>
  <r>
    <x v="176"/>
    <s v="Nina Pacheco"/>
    <x v="0"/>
    <x v="175"/>
    <x v="1"/>
    <x v="0"/>
    <x v="2"/>
    <x v="1"/>
    <x v="2"/>
    <x v="1"/>
    <x v="1"/>
    <x v="10"/>
    <x v="25"/>
  </r>
  <r>
    <x v="177"/>
    <s v="Olívia Rios"/>
    <x v="2"/>
    <x v="176"/>
    <x v="0"/>
    <x v="2"/>
    <x v="1"/>
    <x v="0"/>
    <x v="1"/>
    <x v="1"/>
    <x v="1"/>
    <x v="2"/>
    <x v="2"/>
  </r>
  <r>
    <x v="178"/>
    <s v="Paulo Quintana"/>
    <x v="1"/>
    <x v="177"/>
    <x v="1"/>
    <x v="1"/>
    <x v="2"/>
    <x v="0"/>
    <x v="1"/>
    <x v="0"/>
    <x v="0"/>
    <x v="4"/>
    <x v="4"/>
  </r>
  <r>
    <x v="179"/>
    <s v="Raquel Domingos"/>
    <x v="0"/>
    <x v="178"/>
    <x v="0"/>
    <x v="0"/>
    <x v="0"/>
    <x v="0"/>
    <x v="0"/>
    <x v="1"/>
    <x v="1"/>
    <x v="6"/>
    <x v="2"/>
  </r>
  <r>
    <x v="180"/>
    <s v="Samuel Viana"/>
    <x v="2"/>
    <x v="179"/>
    <x v="1"/>
    <x v="2"/>
    <x v="0"/>
    <x v="0"/>
    <x v="1"/>
    <x v="1"/>
    <x v="1"/>
    <x v="0"/>
    <x v="12"/>
  </r>
  <r>
    <x v="181"/>
    <s v="Tatiane Rocha"/>
    <x v="1"/>
    <x v="180"/>
    <x v="0"/>
    <x v="1"/>
    <x v="1"/>
    <x v="0"/>
    <x v="1"/>
    <x v="0"/>
    <x v="0"/>
    <x v="1"/>
    <x v="1"/>
  </r>
  <r>
    <x v="182"/>
    <s v="Ulysses Farias"/>
    <x v="0"/>
    <x v="181"/>
    <x v="1"/>
    <x v="0"/>
    <x v="2"/>
    <x v="0"/>
    <x v="0"/>
    <x v="1"/>
    <x v="1"/>
    <x v="7"/>
    <x v="8"/>
  </r>
  <r>
    <x v="183"/>
    <s v="Vanessa Moreira"/>
    <x v="2"/>
    <x v="182"/>
    <x v="0"/>
    <x v="2"/>
    <x v="2"/>
    <x v="0"/>
    <x v="1"/>
    <x v="1"/>
    <x v="1"/>
    <x v="9"/>
    <x v="10"/>
  </r>
  <r>
    <x v="184"/>
    <s v="William Carvalho"/>
    <x v="1"/>
    <x v="183"/>
    <x v="1"/>
    <x v="1"/>
    <x v="0"/>
    <x v="0"/>
    <x v="1"/>
    <x v="0"/>
    <x v="0"/>
    <x v="5"/>
    <x v="11"/>
  </r>
  <r>
    <x v="185"/>
    <s v="Ximena Barros"/>
    <x v="2"/>
    <x v="184"/>
    <x v="0"/>
    <x v="2"/>
    <x v="1"/>
    <x v="0"/>
    <x v="0"/>
    <x v="1"/>
    <x v="1"/>
    <x v="0"/>
    <x v="12"/>
  </r>
  <r>
    <x v="186"/>
    <s v="Yara Machado"/>
    <x v="2"/>
    <x v="185"/>
    <x v="1"/>
    <x v="2"/>
    <x v="0"/>
    <x v="0"/>
    <x v="1"/>
    <x v="1"/>
    <x v="1"/>
    <x v="2"/>
    <x v="2"/>
  </r>
  <r>
    <x v="187"/>
    <s v="Zacarias Costa"/>
    <x v="1"/>
    <x v="186"/>
    <x v="0"/>
    <x v="1"/>
    <x v="2"/>
    <x v="0"/>
    <x v="1"/>
    <x v="0"/>
    <x v="0"/>
    <x v="1"/>
    <x v="1"/>
  </r>
  <r>
    <x v="188"/>
    <s v="André Lopes"/>
    <x v="2"/>
    <x v="187"/>
    <x v="1"/>
    <x v="2"/>
    <x v="0"/>
    <x v="0"/>
    <x v="0"/>
    <x v="1"/>
    <x v="1"/>
    <x v="3"/>
    <x v="3"/>
  </r>
  <r>
    <x v="189"/>
    <s v="Beatriz Souza"/>
    <x v="2"/>
    <x v="188"/>
    <x v="0"/>
    <x v="2"/>
    <x v="1"/>
    <x v="0"/>
    <x v="1"/>
    <x v="1"/>
    <x v="1"/>
    <x v="6"/>
    <x v="8"/>
  </r>
  <r>
    <x v="190"/>
    <s v="Caio Pereira"/>
    <x v="1"/>
    <x v="189"/>
    <x v="1"/>
    <x v="1"/>
    <x v="0"/>
    <x v="0"/>
    <x v="1"/>
    <x v="0"/>
    <x v="0"/>
    <x v="4"/>
    <x v="4"/>
  </r>
  <r>
    <x v="191"/>
    <s v="Daniela Araújo"/>
    <x v="2"/>
    <x v="190"/>
    <x v="0"/>
    <x v="2"/>
    <x v="2"/>
    <x v="0"/>
    <x v="0"/>
    <x v="1"/>
    <x v="1"/>
    <x v="10"/>
    <x v="26"/>
  </r>
  <r>
    <x v="192"/>
    <s v="Eduardo Santos"/>
    <x v="2"/>
    <x v="191"/>
    <x v="1"/>
    <x v="2"/>
    <x v="0"/>
    <x v="0"/>
    <x v="1"/>
    <x v="1"/>
    <x v="1"/>
    <x v="2"/>
    <x v="2"/>
  </r>
  <r>
    <x v="193"/>
    <s v="Fernanda Lima"/>
    <x v="1"/>
    <x v="192"/>
    <x v="0"/>
    <x v="1"/>
    <x v="1"/>
    <x v="0"/>
    <x v="1"/>
    <x v="0"/>
    <x v="0"/>
    <x v="1"/>
    <x v="1"/>
  </r>
  <r>
    <x v="194"/>
    <s v="Gabriel Teixeira"/>
    <x v="1"/>
    <x v="193"/>
    <x v="1"/>
    <x v="1"/>
    <x v="0"/>
    <x v="0"/>
    <x v="0"/>
    <x v="1"/>
    <x v="1"/>
    <x v="7"/>
    <x v="1"/>
  </r>
  <r>
    <x v="195"/>
    <s v="Helena Ribeiro"/>
    <x v="2"/>
    <x v="194"/>
    <x v="0"/>
    <x v="2"/>
    <x v="2"/>
    <x v="0"/>
    <x v="1"/>
    <x v="1"/>
    <x v="1"/>
    <x v="6"/>
    <x v="8"/>
  </r>
  <r>
    <x v="196"/>
    <s v="Igor Mendes"/>
    <x v="1"/>
    <x v="195"/>
    <x v="1"/>
    <x v="1"/>
    <x v="0"/>
    <x v="0"/>
    <x v="1"/>
    <x v="0"/>
    <x v="0"/>
    <x v="4"/>
    <x v="4"/>
  </r>
  <r>
    <x v="197"/>
    <s v="Joana Silveira"/>
    <x v="0"/>
    <x v="196"/>
    <x v="0"/>
    <x v="0"/>
    <x v="1"/>
    <x v="0"/>
    <x v="0"/>
    <x v="1"/>
    <x v="1"/>
    <x v="3"/>
    <x v="13"/>
  </r>
  <r>
    <x v="198"/>
    <s v="Lucas Martins"/>
    <x v="2"/>
    <x v="197"/>
    <x v="1"/>
    <x v="2"/>
    <x v="0"/>
    <x v="0"/>
    <x v="1"/>
    <x v="1"/>
    <x v="1"/>
    <x v="2"/>
    <x v="2"/>
  </r>
  <r>
    <x v="199"/>
    <s v="Marcela Gouveia"/>
    <x v="1"/>
    <x v="198"/>
    <x v="0"/>
    <x v="1"/>
    <x v="2"/>
    <x v="0"/>
    <x v="1"/>
    <x v="0"/>
    <x v="0"/>
    <x v="1"/>
    <x v="1"/>
  </r>
  <r>
    <x v="200"/>
    <s v="Nicolas Borges"/>
    <x v="0"/>
    <x v="199"/>
    <x v="1"/>
    <x v="0"/>
    <x v="0"/>
    <x v="0"/>
    <x v="0"/>
    <x v="1"/>
    <x v="1"/>
    <x v="6"/>
    <x v="2"/>
  </r>
  <r>
    <x v="201"/>
    <s v="Olivia Freitas"/>
    <x v="2"/>
    <x v="200"/>
    <x v="0"/>
    <x v="2"/>
    <x v="1"/>
    <x v="0"/>
    <x v="1"/>
    <x v="1"/>
    <x v="1"/>
    <x v="6"/>
    <x v="8"/>
  </r>
  <r>
    <x v="202"/>
    <s v="Paulo Nogueira"/>
    <x v="1"/>
    <x v="201"/>
    <x v="1"/>
    <x v="1"/>
    <x v="0"/>
    <x v="0"/>
    <x v="1"/>
    <x v="0"/>
    <x v="0"/>
    <x v="4"/>
    <x v="4"/>
  </r>
  <r>
    <x v="203"/>
    <s v="Raquel Andrade"/>
    <x v="0"/>
    <x v="202"/>
    <x v="0"/>
    <x v="0"/>
    <x v="2"/>
    <x v="0"/>
    <x v="0"/>
    <x v="1"/>
    <x v="1"/>
    <x v="10"/>
    <x v="5"/>
  </r>
  <r>
    <x v="204"/>
    <s v="Sônia Carvalho"/>
    <x v="2"/>
    <x v="203"/>
    <x v="1"/>
    <x v="2"/>
    <x v="0"/>
    <x v="0"/>
    <x v="1"/>
    <x v="1"/>
    <x v="1"/>
    <x v="2"/>
    <x v="2"/>
  </r>
  <r>
    <x v="205"/>
    <s v="Tiago Rodrigues"/>
    <x v="1"/>
    <x v="204"/>
    <x v="0"/>
    <x v="1"/>
    <x v="0"/>
    <x v="0"/>
    <x v="1"/>
    <x v="0"/>
    <x v="0"/>
    <x v="1"/>
    <x v="1"/>
  </r>
  <r>
    <x v="206"/>
    <s v="Ursula Monteiro"/>
    <x v="0"/>
    <x v="205"/>
    <x v="1"/>
    <x v="0"/>
    <x v="2"/>
    <x v="0"/>
    <x v="0"/>
    <x v="1"/>
    <x v="1"/>
    <x v="10"/>
    <x v="5"/>
  </r>
  <r>
    <x v="207"/>
    <s v="Vanessa Pereira"/>
    <x v="2"/>
    <x v="206"/>
    <x v="0"/>
    <x v="2"/>
    <x v="1"/>
    <x v="0"/>
    <x v="1"/>
    <x v="1"/>
    <x v="1"/>
    <x v="2"/>
    <x v="2"/>
  </r>
  <r>
    <x v="208"/>
    <s v="Walter Silva"/>
    <x v="1"/>
    <x v="207"/>
    <x v="1"/>
    <x v="1"/>
    <x v="2"/>
    <x v="0"/>
    <x v="1"/>
    <x v="0"/>
    <x v="0"/>
    <x v="4"/>
    <x v="4"/>
  </r>
  <r>
    <x v="209"/>
    <s v="Xavier Almeida"/>
    <x v="0"/>
    <x v="208"/>
    <x v="0"/>
    <x v="0"/>
    <x v="0"/>
    <x v="1"/>
    <x v="2"/>
    <x v="1"/>
    <x v="1"/>
    <x v="6"/>
    <x v="20"/>
  </r>
  <r>
    <x v="210"/>
    <s v="Yasmine Correia"/>
    <x v="2"/>
    <x v="209"/>
    <x v="1"/>
    <x v="2"/>
    <x v="0"/>
    <x v="0"/>
    <x v="1"/>
    <x v="1"/>
    <x v="1"/>
    <x v="0"/>
    <x v="12"/>
  </r>
  <r>
    <x v="211"/>
    <s v="Zacarias Almeida"/>
    <x v="1"/>
    <x v="210"/>
    <x v="0"/>
    <x v="1"/>
    <x v="1"/>
    <x v="0"/>
    <x v="1"/>
    <x v="0"/>
    <x v="0"/>
    <x v="1"/>
    <x v="1"/>
  </r>
  <r>
    <x v="212"/>
    <s v="Amanda Costa"/>
    <x v="1"/>
    <x v="211"/>
    <x v="1"/>
    <x v="1"/>
    <x v="2"/>
    <x v="1"/>
    <x v="2"/>
    <x v="1"/>
    <x v="1"/>
    <x v="7"/>
    <x v="16"/>
  </r>
  <r>
    <x v="213"/>
    <s v="Bruno Ferreira"/>
    <x v="2"/>
    <x v="212"/>
    <x v="0"/>
    <x v="2"/>
    <x v="2"/>
    <x v="0"/>
    <x v="1"/>
    <x v="1"/>
    <x v="1"/>
    <x v="9"/>
    <x v="10"/>
  </r>
  <r>
    <x v="214"/>
    <s v="Carla Dias"/>
    <x v="1"/>
    <x v="213"/>
    <x v="1"/>
    <x v="1"/>
    <x v="0"/>
    <x v="0"/>
    <x v="1"/>
    <x v="0"/>
    <x v="0"/>
    <x v="5"/>
    <x v="11"/>
  </r>
  <r>
    <x v="215"/>
    <s v="Diogo Martins"/>
    <x v="0"/>
    <x v="214"/>
    <x v="0"/>
    <x v="0"/>
    <x v="1"/>
    <x v="1"/>
    <x v="2"/>
    <x v="1"/>
    <x v="1"/>
    <x v="0"/>
    <x v="7"/>
  </r>
  <r>
    <x v="216"/>
    <s v="Elisa Campos"/>
    <x v="2"/>
    <x v="215"/>
    <x v="1"/>
    <x v="2"/>
    <x v="0"/>
    <x v="0"/>
    <x v="1"/>
    <x v="1"/>
    <x v="1"/>
    <x v="2"/>
    <x v="2"/>
  </r>
  <r>
    <x v="217"/>
    <s v="Fabiana Lima"/>
    <x v="1"/>
    <x v="216"/>
    <x v="0"/>
    <x v="1"/>
    <x v="2"/>
    <x v="0"/>
    <x v="1"/>
    <x v="0"/>
    <x v="0"/>
    <x v="1"/>
    <x v="1"/>
  </r>
  <r>
    <x v="218"/>
    <s v="Gabriel Santos"/>
    <x v="0"/>
    <x v="217"/>
    <x v="1"/>
    <x v="0"/>
    <x v="0"/>
    <x v="1"/>
    <x v="2"/>
    <x v="1"/>
    <x v="1"/>
    <x v="3"/>
    <x v="18"/>
  </r>
  <r>
    <x v="219"/>
    <s v="Helena Ferreira"/>
    <x v="2"/>
    <x v="218"/>
    <x v="0"/>
    <x v="2"/>
    <x v="1"/>
    <x v="0"/>
    <x v="1"/>
    <x v="1"/>
    <x v="1"/>
    <x v="6"/>
    <x v="8"/>
  </r>
  <r>
    <x v="220"/>
    <s v="Ígor Nunes"/>
    <x v="1"/>
    <x v="219"/>
    <x v="1"/>
    <x v="1"/>
    <x v="0"/>
    <x v="0"/>
    <x v="1"/>
    <x v="0"/>
    <x v="0"/>
    <x v="4"/>
    <x v="4"/>
  </r>
  <r>
    <x v="221"/>
    <s v="Joana Silveira"/>
    <x v="0"/>
    <x v="220"/>
    <x v="0"/>
    <x v="0"/>
    <x v="2"/>
    <x v="1"/>
    <x v="2"/>
    <x v="0"/>
    <x v="0"/>
    <x v="10"/>
    <x v="19"/>
  </r>
  <r>
    <x v="222"/>
    <s v="Kléber Oliveira"/>
    <x v="2"/>
    <x v="221"/>
    <x v="1"/>
    <x v="2"/>
    <x v="0"/>
    <x v="0"/>
    <x v="1"/>
    <x v="1"/>
    <x v="1"/>
    <x v="2"/>
    <x v="2"/>
  </r>
  <r>
    <x v="223"/>
    <s v="Luciana Morais"/>
    <x v="1"/>
    <x v="222"/>
    <x v="0"/>
    <x v="1"/>
    <x v="1"/>
    <x v="0"/>
    <x v="1"/>
    <x v="0"/>
    <x v="0"/>
    <x v="1"/>
    <x v="1"/>
  </r>
  <r>
    <x v="224"/>
    <s v="Marcos Vinícius"/>
    <x v="0"/>
    <x v="223"/>
    <x v="1"/>
    <x v="0"/>
    <x v="0"/>
    <x v="1"/>
    <x v="2"/>
    <x v="0"/>
    <x v="0"/>
    <x v="7"/>
    <x v="12"/>
  </r>
  <r>
    <x v="225"/>
    <s v="Natália Barros"/>
    <x v="2"/>
    <x v="224"/>
    <x v="0"/>
    <x v="2"/>
    <x v="2"/>
    <x v="0"/>
    <x v="1"/>
    <x v="1"/>
    <x v="1"/>
    <x v="6"/>
    <x v="8"/>
  </r>
  <r>
    <x v="226"/>
    <s v="Oscar Sampaio"/>
    <x v="1"/>
    <x v="225"/>
    <x v="1"/>
    <x v="1"/>
    <x v="0"/>
    <x v="0"/>
    <x v="1"/>
    <x v="0"/>
    <x v="0"/>
    <x v="4"/>
    <x v="4"/>
  </r>
  <r>
    <x v="227"/>
    <s v="Patrícia Leite"/>
    <x v="1"/>
    <x v="226"/>
    <x v="0"/>
    <x v="1"/>
    <x v="1"/>
    <x v="1"/>
    <x v="2"/>
    <x v="0"/>
    <x v="0"/>
    <x v="3"/>
    <x v="13"/>
  </r>
  <r>
    <x v="228"/>
    <s v="Quênia Rocha"/>
    <x v="2"/>
    <x v="227"/>
    <x v="1"/>
    <x v="2"/>
    <x v="0"/>
    <x v="0"/>
    <x v="1"/>
    <x v="1"/>
    <x v="1"/>
    <x v="2"/>
    <x v="2"/>
  </r>
  <r>
    <x v="229"/>
    <s v="Rafael Torres"/>
    <x v="1"/>
    <x v="228"/>
    <x v="0"/>
    <x v="1"/>
    <x v="2"/>
    <x v="0"/>
    <x v="1"/>
    <x v="0"/>
    <x v="0"/>
    <x v="1"/>
    <x v="1"/>
  </r>
  <r>
    <x v="230"/>
    <s v="Sandra Gouveia"/>
    <x v="0"/>
    <x v="229"/>
    <x v="1"/>
    <x v="0"/>
    <x v="0"/>
    <x v="1"/>
    <x v="2"/>
    <x v="0"/>
    <x v="0"/>
    <x v="6"/>
    <x v="27"/>
  </r>
  <r>
    <x v="231"/>
    <s v="Tiago Lacerda"/>
    <x v="2"/>
    <x v="230"/>
    <x v="0"/>
    <x v="2"/>
    <x v="1"/>
    <x v="0"/>
    <x v="1"/>
    <x v="1"/>
    <x v="1"/>
    <x v="6"/>
    <x v="8"/>
  </r>
  <r>
    <x v="232"/>
    <s v="Ursula Fonseca"/>
    <x v="1"/>
    <x v="231"/>
    <x v="1"/>
    <x v="1"/>
    <x v="0"/>
    <x v="0"/>
    <x v="1"/>
    <x v="0"/>
    <x v="0"/>
    <x v="4"/>
    <x v="4"/>
  </r>
  <r>
    <x v="233"/>
    <s v="Vanessa Andrade"/>
    <x v="0"/>
    <x v="232"/>
    <x v="0"/>
    <x v="0"/>
    <x v="2"/>
    <x v="1"/>
    <x v="2"/>
    <x v="0"/>
    <x v="0"/>
    <x v="10"/>
    <x v="19"/>
  </r>
  <r>
    <x v="234"/>
    <s v="William Castro"/>
    <x v="2"/>
    <x v="233"/>
    <x v="1"/>
    <x v="2"/>
    <x v="0"/>
    <x v="0"/>
    <x v="1"/>
    <x v="1"/>
    <x v="1"/>
    <x v="2"/>
    <x v="2"/>
  </r>
  <r>
    <x v="235"/>
    <s v="Xavier Monteiro"/>
    <x v="1"/>
    <x v="234"/>
    <x v="0"/>
    <x v="1"/>
    <x v="1"/>
    <x v="0"/>
    <x v="1"/>
    <x v="0"/>
    <x v="0"/>
    <x v="1"/>
    <x v="1"/>
  </r>
  <r>
    <x v="236"/>
    <s v="Yasmin Figueira"/>
    <x v="2"/>
    <x v="235"/>
    <x v="1"/>
    <x v="2"/>
    <x v="0"/>
    <x v="1"/>
    <x v="2"/>
    <x v="0"/>
    <x v="0"/>
    <x v="6"/>
    <x v="12"/>
  </r>
  <r>
    <x v="237"/>
    <s v="Zacarias Mendonça"/>
    <x v="2"/>
    <x v="236"/>
    <x v="0"/>
    <x v="2"/>
    <x v="2"/>
    <x v="0"/>
    <x v="1"/>
    <x v="1"/>
    <x v="1"/>
    <x v="9"/>
    <x v="10"/>
  </r>
  <r>
    <x v="238"/>
    <s v="Amanda Menezes"/>
    <x v="1"/>
    <x v="237"/>
    <x v="1"/>
    <x v="1"/>
    <x v="0"/>
    <x v="0"/>
    <x v="1"/>
    <x v="0"/>
    <x v="0"/>
    <x v="5"/>
    <x v="11"/>
  </r>
  <r>
    <x v="239"/>
    <s v="Bruno Santos"/>
    <x v="2"/>
    <x v="238"/>
    <x v="0"/>
    <x v="2"/>
    <x v="1"/>
    <x v="1"/>
    <x v="2"/>
    <x v="0"/>
    <x v="0"/>
    <x v="0"/>
    <x v="16"/>
  </r>
  <r>
    <x v="240"/>
    <s v="Carla Ferreira"/>
    <x v="2"/>
    <x v="239"/>
    <x v="1"/>
    <x v="2"/>
    <x v="0"/>
    <x v="0"/>
    <x v="1"/>
    <x v="1"/>
    <x v="1"/>
    <x v="2"/>
    <x v="2"/>
  </r>
  <r>
    <x v="241"/>
    <s v="Diogo Alves"/>
    <x v="1"/>
    <x v="240"/>
    <x v="0"/>
    <x v="1"/>
    <x v="2"/>
    <x v="0"/>
    <x v="1"/>
    <x v="0"/>
    <x v="0"/>
    <x v="1"/>
    <x v="1"/>
  </r>
  <r>
    <x v="242"/>
    <s v="Elisa Neves"/>
    <x v="2"/>
    <x v="241"/>
    <x v="1"/>
    <x v="2"/>
    <x v="0"/>
    <x v="1"/>
    <x v="2"/>
    <x v="0"/>
    <x v="0"/>
    <x v="3"/>
    <x v="28"/>
  </r>
  <r>
    <x v="243"/>
    <s v="Fabiano Pires"/>
    <x v="2"/>
    <x v="242"/>
    <x v="0"/>
    <x v="2"/>
    <x v="1"/>
    <x v="0"/>
    <x v="1"/>
    <x v="1"/>
    <x v="1"/>
    <x v="6"/>
    <x v="8"/>
  </r>
  <r>
    <x v="244"/>
    <s v="Giovana Ribeiro"/>
    <x v="1"/>
    <x v="243"/>
    <x v="1"/>
    <x v="1"/>
    <x v="0"/>
    <x v="0"/>
    <x v="1"/>
    <x v="0"/>
    <x v="0"/>
    <x v="4"/>
    <x v="4"/>
  </r>
  <r>
    <x v="245"/>
    <s v="Hélio Costa"/>
    <x v="2"/>
    <x v="244"/>
    <x v="0"/>
    <x v="2"/>
    <x v="2"/>
    <x v="1"/>
    <x v="2"/>
    <x v="1"/>
    <x v="1"/>
    <x v="10"/>
    <x v="14"/>
  </r>
  <r>
    <x v="246"/>
    <s v="Íris Loureiro"/>
    <x v="2"/>
    <x v="245"/>
    <x v="1"/>
    <x v="2"/>
    <x v="0"/>
    <x v="0"/>
    <x v="1"/>
    <x v="1"/>
    <x v="1"/>
    <x v="2"/>
    <x v="2"/>
  </r>
  <r>
    <x v="247"/>
    <s v="João Pereira"/>
    <x v="1"/>
    <x v="246"/>
    <x v="0"/>
    <x v="1"/>
    <x v="1"/>
    <x v="0"/>
    <x v="1"/>
    <x v="0"/>
    <x v="0"/>
    <x v="1"/>
    <x v="1"/>
  </r>
  <r>
    <x v="248"/>
    <s v="Klara Silva"/>
    <x v="0"/>
    <x v="247"/>
    <x v="1"/>
    <x v="0"/>
    <x v="0"/>
    <x v="0"/>
    <x v="0"/>
    <x v="1"/>
    <x v="1"/>
    <x v="7"/>
    <x v="8"/>
  </r>
  <r>
    <x v="249"/>
    <s v="Luciana Barros"/>
    <x v="2"/>
    <x v="248"/>
    <x v="0"/>
    <x v="2"/>
    <x v="2"/>
    <x v="0"/>
    <x v="1"/>
    <x v="1"/>
    <x v="1"/>
    <x v="6"/>
    <x v="8"/>
  </r>
  <r>
    <x v="250"/>
    <s v="Marcos Gomes"/>
    <x v="1"/>
    <x v="249"/>
    <x v="1"/>
    <x v="1"/>
    <x v="0"/>
    <x v="0"/>
    <x v="1"/>
    <x v="0"/>
    <x v="0"/>
    <x v="4"/>
    <x v="4"/>
  </r>
  <r>
    <x v="251"/>
    <s v="Natália Soares"/>
    <x v="0"/>
    <x v="250"/>
    <x v="0"/>
    <x v="0"/>
    <x v="1"/>
    <x v="0"/>
    <x v="0"/>
    <x v="1"/>
    <x v="1"/>
    <x v="3"/>
    <x v="13"/>
  </r>
  <r>
    <x v="252"/>
    <s v="Oscar Machado"/>
    <x v="2"/>
    <x v="251"/>
    <x v="1"/>
    <x v="2"/>
    <x v="0"/>
    <x v="0"/>
    <x v="1"/>
    <x v="1"/>
    <x v="1"/>
    <x v="2"/>
    <x v="2"/>
  </r>
  <r>
    <x v="253"/>
    <s v="Patrícia Lima"/>
    <x v="1"/>
    <x v="252"/>
    <x v="0"/>
    <x v="1"/>
    <x v="2"/>
    <x v="0"/>
    <x v="1"/>
    <x v="0"/>
    <x v="0"/>
    <x v="1"/>
    <x v="1"/>
  </r>
  <r>
    <x v="254"/>
    <s v="Quirino Neto"/>
    <x v="1"/>
    <x v="253"/>
    <x v="1"/>
    <x v="1"/>
    <x v="0"/>
    <x v="0"/>
    <x v="0"/>
    <x v="1"/>
    <x v="1"/>
    <x v="6"/>
    <x v="0"/>
  </r>
  <r>
    <x v="255"/>
    <s v="Rafaela Souza"/>
    <x v="1"/>
    <x v="254"/>
    <x v="0"/>
    <x v="1"/>
    <x v="0"/>
    <x v="0"/>
    <x v="1"/>
    <x v="0"/>
    <x v="0"/>
    <x v="1"/>
    <x v="1"/>
  </r>
  <r>
    <x v="256"/>
    <s v="Sandro Almeida"/>
    <x v="1"/>
    <x v="255"/>
    <x v="1"/>
    <x v="1"/>
    <x v="2"/>
    <x v="0"/>
    <x v="0"/>
    <x v="1"/>
    <x v="1"/>
    <x v="10"/>
    <x v="10"/>
  </r>
  <r>
    <x v="257"/>
    <s v="Tânia Ribeiro"/>
    <x v="2"/>
    <x v="256"/>
    <x v="0"/>
    <x v="2"/>
    <x v="1"/>
    <x v="0"/>
    <x v="1"/>
    <x v="1"/>
    <x v="1"/>
    <x v="2"/>
    <x v="2"/>
  </r>
  <r>
    <x v="258"/>
    <s v="Ugo Dias"/>
    <x v="1"/>
    <x v="257"/>
    <x v="1"/>
    <x v="1"/>
    <x v="2"/>
    <x v="0"/>
    <x v="1"/>
    <x v="0"/>
    <x v="0"/>
    <x v="4"/>
    <x v="4"/>
  </r>
  <r>
    <x v="259"/>
    <s v="Valéria Lima"/>
    <x v="0"/>
    <x v="258"/>
    <x v="0"/>
    <x v="0"/>
    <x v="0"/>
    <x v="0"/>
    <x v="0"/>
    <x v="1"/>
    <x v="1"/>
    <x v="6"/>
    <x v="2"/>
  </r>
  <r>
    <x v="260"/>
    <s v="William Fernandes"/>
    <x v="2"/>
    <x v="259"/>
    <x v="1"/>
    <x v="2"/>
    <x v="0"/>
    <x v="0"/>
    <x v="1"/>
    <x v="1"/>
    <x v="1"/>
    <x v="0"/>
    <x v="12"/>
  </r>
  <r>
    <x v="261"/>
    <s v="Xuxa Mendes"/>
    <x v="1"/>
    <x v="260"/>
    <x v="0"/>
    <x v="1"/>
    <x v="1"/>
    <x v="0"/>
    <x v="1"/>
    <x v="0"/>
    <x v="0"/>
    <x v="1"/>
    <x v="1"/>
  </r>
  <r>
    <x v="262"/>
    <s v="Ygor Farias"/>
    <x v="0"/>
    <x v="261"/>
    <x v="1"/>
    <x v="0"/>
    <x v="2"/>
    <x v="0"/>
    <x v="0"/>
    <x v="1"/>
    <x v="1"/>
    <x v="7"/>
    <x v="8"/>
  </r>
  <r>
    <x v="263"/>
    <s v="Zilda Barros"/>
    <x v="2"/>
    <x v="262"/>
    <x v="0"/>
    <x v="2"/>
    <x v="2"/>
    <x v="0"/>
    <x v="1"/>
    <x v="1"/>
    <x v="1"/>
    <x v="9"/>
    <x v="10"/>
  </r>
  <r>
    <x v="264"/>
    <s v="Amanda Santos"/>
    <x v="1"/>
    <x v="263"/>
    <x v="1"/>
    <x v="1"/>
    <x v="0"/>
    <x v="0"/>
    <x v="1"/>
    <x v="0"/>
    <x v="0"/>
    <x v="5"/>
    <x v="11"/>
  </r>
  <r>
    <x v="265"/>
    <s v="Bruno Costa"/>
    <x v="0"/>
    <x v="264"/>
    <x v="0"/>
    <x v="0"/>
    <x v="1"/>
    <x v="0"/>
    <x v="0"/>
    <x v="1"/>
    <x v="1"/>
    <x v="0"/>
    <x v="27"/>
  </r>
  <r>
    <x v="266"/>
    <s v="Carla Rodrigues"/>
    <x v="2"/>
    <x v="265"/>
    <x v="1"/>
    <x v="2"/>
    <x v="0"/>
    <x v="0"/>
    <x v="1"/>
    <x v="1"/>
    <x v="1"/>
    <x v="2"/>
    <x v="2"/>
  </r>
  <r>
    <x v="267"/>
    <s v="Diogo Pereira"/>
    <x v="1"/>
    <x v="266"/>
    <x v="0"/>
    <x v="1"/>
    <x v="2"/>
    <x v="0"/>
    <x v="1"/>
    <x v="0"/>
    <x v="0"/>
    <x v="1"/>
    <x v="1"/>
  </r>
  <r>
    <x v="268"/>
    <s v="Elisa Correia"/>
    <x v="1"/>
    <x v="267"/>
    <x v="1"/>
    <x v="1"/>
    <x v="0"/>
    <x v="0"/>
    <x v="0"/>
    <x v="1"/>
    <x v="1"/>
    <x v="3"/>
    <x v="29"/>
  </r>
  <r>
    <x v="269"/>
    <s v="Fábio Lourenço"/>
    <x v="2"/>
    <x v="268"/>
    <x v="0"/>
    <x v="2"/>
    <x v="1"/>
    <x v="0"/>
    <x v="1"/>
    <x v="1"/>
    <x v="1"/>
    <x v="6"/>
    <x v="8"/>
  </r>
  <r>
    <x v="270"/>
    <s v="Gabriela Neves"/>
    <x v="1"/>
    <x v="269"/>
    <x v="1"/>
    <x v="1"/>
    <x v="0"/>
    <x v="0"/>
    <x v="1"/>
    <x v="0"/>
    <x v="0"/>
    <x v="4"/>
    <x v="4"/>
  </r>
  <r>
    <x v="271"/>
    <s v="Henrique Gonçalves"/>
    <x v="0"/>
    <x v="270"/>
    <x v="0"/>
    <x v="0"/>
    <x v="2"/>
    <x v="0"/>
    <x v="0"/>
    <x v="1"/>
    <x v="1"/>
    <x v="10"/>
    <x v="5"/>
  </r>
  <r>
    <x v="272"/>
    <s v="Íris Santos"/>
    <x v="2"/>
    <x v="271"/>
    <x v="1"/>
    <x v="2"/>
    <x v="0"/>
    <x v="0"/>
    <x v="1"/>
    <x v="1"/>
    <x v="1"/>
    <x v="2"/>
    <x v="2"/>
  </r>
  <r>
    <x v="273"/>
    <s v="João Marcelo Alves"/>
    <x v="1"/>
    <x v="272"/>
    <x v="0"/>
    <x v="1"/>
    <x v="1"/>
    <x v="0"/>
    <x v="1"/>
    <x v="0"/>
    <x v="0"/>
    <x v="1"/>
    <x v="1"/>
  </r>
  <r>
    <x v="274"/>
    <s v="Klara Fonseca"/>
    <x v="0"/>
    <x v="273"/>
    <x v="1"/>
    <x v="0"/>
    <x v="0"/>
    <x v="0"/>
    <x v="0"/>
    <x v="1"/>
    <x v="1"/>
    <x v="7"/>
    <x v="8"/>
  </r>
  <r>
    <x v="275"/>
    <s v="Lucas Mendonça"/>
    <x v="2"/>
    <x v="274"/>
    <x v="0"/>
    <x v="2"/>
    <x v="2"/>
    <x v="0"/>
    <x v="1"/>
    <x v="1"/>
    <x v="1"/>
    <x v="6"/>
    <x v="8"/>
  </r>
  <r>
    <x v="276"/>
    <s v="Marcela Torres"/>
    <x v="1"/>
    <x v="275"/>
    <x v="1"/>
    <x v="1"/>
    <x v="0"/>
    <x v="0"/>
    <x v="1"/>
    <x v="0"/>
    <x v="0"/>
    <x v="4"/>
    <x v="4"/>
  </r>
  <r>
    <x v="277"/>
    <s v="Natália Castro"/>
    <x v="0"/>
    <x v="276"/>
    <x v="0"/>
    <x v="0"/>
    <x v="1"/>
    <x v="1"/>
    <x v="2"/>
    <x v="1"/>
    <x v="1"/>
    <x v="3"/>
    <x v="18"/>
  </r>
  <r>
    <x v="278"/>
    <s v="Oscar Martins"/>
    <x v="2"/>
    <x v="277"/>
    <x v="1"/>
    <x v="2"/>
    <x v="0"/>
    <x v="0"/>
    <x v="1"/>
    <x v="1"/>
    <x v="1"/>
    <x v="2"/>
    <x v="2"/>
  </r>
  <r>
    <x v="279"/>
    <s v="Patrícia Oliveira"/>
    <x v="1"/>
    <x v="278"/>
    <x v="0"/>
    <x v="1"/>
    <x v="2"/>
    <x v="0"/>
    <x v="1"/>
    <x v="0"/>
    <x v="0"/>
    <x v="1"/>
    <x v="1"/>
  </r>
  <r>
    <x v="280"/>
    <s v="Quentin Nogueira"/>
    <x v="1"/>
    <x v="279"/>
    <x v="1"/>
    <x v="1"/>
    <x v="0"/>
    <x v="1"/>
    <x v="2"/>
    <x v="0"/>
    <x v="0"/>
    <x v="6"/>
    <x v="2"/>
  </r>
  <r>
    <x v="281"/>
    <s v="Raquel Silva"/>
    <x v="2"/>
    <x v="280"/>
    <x v="0"/>
    <x v="2"/>
    <x v="1"/>
    <x v="0"/>
    <x v="1"/>
    <x v="1"/>
    <x v="1"/>
    <x v="6"/>
    <x v="8"/>
  </r>
  <r>
    <x v="282"/>
    <s v="Sandro Gomes"/>
    <x v="1"/>
    <x v="281"/>
    <x v="1"/>
    <x v="1"/>
    <x v="0"/>
    <x v="0"/>
    <x v="1"/>
    <x v="0"/>
    <x v="0"/>
    <x v="4"/>
    <x v="4"/>
  </r>
  <r>
    <x v="283"/>
    <s v="Tânia Machado"/>
    <x v="0"/>
    <x v="282"/>
    <x v="0"/>
    <x v="0"/>
    <x v="2"/>
    <x v="1"/>
    <x v="2"/>
    <x v="0"/>
    <x v="0"/>
    <x v="10"/>
    <x v="19"/>
  </r>
  <r>
    <x v="284"/>
    <s v="Ursula Silva"/>
    <x v="2"/>
    <x v="283"/>
    <x v="1"/>
    <x v="2"/>
    <x v="0"/>
    <x v="0"/>
    <x v="1"/>
    <x v="1"/>
    <x v="1"/>
    <x v="2"/>
    <x v="2"/>
  </r>
  <r>
    <x v="285"/>
    <s v="Vanessa Moraes"/>
    <x v="1"/>
    <x v="284"/>
    <x v="0"/>
    <x v="1"/>
    <x v="1"/>
    <x v="0"/>
    <x v="1"/>
    <x v="0"/>
    <x v="0"/>
    <x v="1"/>
    <x v="1"/>
  </r>
  <r>
    <x v="286"/>
    <s v="William Carvalho"/>
    <x v="1"/>
    <x v="285"/>
    <x v="1"/>
    <x v="1"/>
    <x v="0"/>
    <x v="1"/>
    <x v="2"/>
    <x v="0"/>
    <x v="0"/>
    <x v="7"/>
    <x v="8"/>
  </r>
  <r>
    <x v="287"/>
    <s v="Xavier Reis"/>
    <x v="2"/>
    <x v="286"/>
    <x v="0"/>
    <x v="2"/>
    <x v="2"/>
    <x v="0"/>
    <x v="1"/>
    <x v="1"/>
    <x v="1"/>
    <x v="9"/>
    <x v="10"/>
  </r>
  <r>
    <x v="288"/>
    <s v="Yasmin Rocha"/>
    <x v="1"/>
    <x v="287"/>
    <x v="1"/>
    <x v="1"/>
    <x v="0"/>
    <x v="0"/>
    <x v="1"/>
    <x v="0"/>
    <x v="0"/>
    <x v="5"/>
    <x v="11"/>
  </r>
  <r>
    <x v="289"/>
    <s v="Zacarias Duarte"/>
    <x v="0"/>
    <x v="288"/>
    <x v="0"/>
    <x v="0"/>
    <x v="1"/>
    <x v="1"/>
    <x v="2"/>
    <x v="0"/>
    <x v="0"/>
    <x v="0"/>
    <x v="17"/>
  </r>
  <r>
    <x v="290"/>
    <s v="Amanda Freitas"/>
    <x v="2"/>
    <x v="289"/>
    <x v="1"/>
    <x v="2"/>
    <x v="0"/>
    <x v="0"/>
    <x v="1"/>
    <x v="1"/>
    <x v="1"/>
    <x v="2"/>
    <x v="2"/>
  </r>
  <r>
    <x v="291"/>
    <s v="Bruno Almeida"/>
    <x v="1"/>
    <x v="290"/>
    <x v="0"/>
    <x v="1"/>
    <x v="2"/>
    <x v="0"/>
    <x v="1"/>
    <x v="0"/>
    <x v="0"/>
    <x v="1"/>
    <x v="1"/>
  </r>
  <r>
    <x v="292"/>
    <s v="Carla Siqueira"/>
    <x v="1"/>
    <x v="291"/>
    <x v="1"/>
    <x v="1"/>
    <x v="0"/>
    <x v="1"/>
    <x v="2"/>
    <x v="0"/>
    <x v="0"/>
    <x v="3"/>
    <x v="13"/>
  </r>
  <r>
    <x v="293"/>
    <s v="Diogo Ramos"/>
    <x v="2"/>
    <x v="292"/>
    <x v="0"/>
    <x v="2"/>
    <x v="1"/>
    <x v="0"/>
    <x v="1"/>
    <x v="1"/>
    <x v="1"/>
    <x v="6"/>
    <x v="8"/>
  </r>
  <r>
    <x v="294"/>
    <s v="Elisa Magalhães"/>
    <x v="1"/>
    <x v="293"/>
    <x v="1"/>
    <x v="1"/>
    <x v="0"/>
    <x v="0"/>
    <x v="1"/>
    <x v="0"/>
    <x v="0"/>
    <x v="4"/>
    <x v="4"/>
  </r>
  <r>
    <x v="295"/>
    <m/>
    <x v="3"/>
    <x v="294"/>
    <x v="2"/>
    <x v="3"/>
    <x v="3"/>
    <x v="2"/>
    <x v="3"/>
    <x v="2"/>
    <x v="2"/>
    <x v="11"/>
    <x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A32409-69C0-4DC7-80F7-ED8156C0146C}" name="Tabela dinâmica8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9">
  <location ref="B34:B35" firstHeaderRow="1" firstDataRow="1" firstDataCol="0" rowPageCount="1" colPageCount="1"/>
  <pivotFields count="14">
    <pivotField dataField="1" showAll="0">
      <items count="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t="default"/>
      </items>
    </pivotField>
    <pivotField showAll="0"/>
    <pivotField showAll="0">
      <items count="5">
        <item x="1"/>
        <item x="2"/>
        <item x="0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5">
        <item h="1" x="1"/>
        <item x="0"/>
        <item x="2"/>
        <item h="1" x="3"/>
        <item t="default"/>
      </items>
    </pivotField>
    <pivotField axis="axisPage" showAll="0">
      <items count="4">
        <item sd="0" x="0"/>
        <item sd="0" x="1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multipleItemSelectionAllowed="1" showAll="0">
      <items count="4">
        <item h="1" x="0"/>
        <item x="1"/>
        <item h="1"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13">
        <item x="1"/>
        <item x="4"/>
        <item x="5"/>
        <item x="3"/>
        <item x="0"/>
        <item x="10"/>
        <item x="8"/>
        <item x="2"/>
        <item x="9"/>
        <item x="6"/>
        <item x="7"/>
        <item x="11"/>
        <item t="default"/>
      </items>
    </pivotField>
    <pivotField showAll="0">
      <items count="32">
        <item x="11"/>
        <item x="4"/>
        <item x="1"/>
        <item x="0"/>
        <item x="8"/>
        <item x="9"/>
        <item x="10"/>
        <item x="2"/>
        <item x="29"/>
        <item x="26"/>
        <item x="12"/>
        <item x="3"/>
        <item x="5"/>
        <item x="27"/>
        <item x="13"/>
        <item x="16"/>
        <item x="28"/>
        <item x="19"/>
        <item x="17"/>
        <item x="15"/>
        <item x="22"/>
        <item x="21"/>
        <item x="20"/>
        <item x="24"/>
        <item x="14"/>
        <item x="6"/>
        <item x="23"/>
        <item x="25"/>
        <item x="7"/>
        <item x="18"/>
        <item x="3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Items count="1">
    <i/>
  </colItems>
  <pageFields count="1">
    <pageField fld="7" item="1" hier="-1"/>
  </pageFields>
  <dataFields count="1">
    <dataField name="Contagem de Subscriber ID" fld="0" subtotal="count" baseField="9" baseItem="1"/>
  </dataFields>
  <chartFormats count="5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99569C-7D00-401D-9C07-7F004B24D0E2}" name="Tabela dinâmica7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5">
  <location ref="G32:G33" firstHeaderRow="1" firstDataRow="1" firstDataCol="0" rowPageCount="1" colPageCount="1"/>
  <pivotFields count="14">
    <pivotField dataField="1" showAll="0">
      <items count="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t="default"/>
      </items>
    </pivotField>
    <pivotField showAll="0"/>
    <pivotField showAll="0">
      <items count="5">
        <item x="1"/>
        <item x="2"/>
        <item x="0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5">
        <item h="1" x="1"/>
        <item x="0"/>
        <item x="2"/>
        <item h="1" x="3"/>
        <item t="default"/>
      </items>
    </pivotField>
    <pivotField showAll="0">
      <items count="4">
        <item sd="0" x="0"/>
        <item sd="0" x="1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axis="axisPage" multipleItemSelectionAllowed="1" showAll="0">
      <items count="4">
        <item h="1" x="0"/>
        <item x="1"/>
        <item h="1"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13">
        <item x="1"/>
        <item x="4"/>
        <item x="5"/>
        <item x="3"/>
        <item x="0"/>
        <item x="10"/>
        <item x="8"/>
        <item x="2"/>
        <item x="9"/>
        <item x="6"/>
        <item x="7"/>
        <item x="11"/>
        <item t="default"/>
      </items>
    </pivotField>
    <pivotField showAll="0">
      <items count="32">
        <item x="11"/>
        <item x="4"/>
        <item x="1"/>
        <item x="0"/>
        <item x="8"/>
        <item x="9"/>
        <item x="10"/>
        <item x="2"/>
        <item x="29"/>
        <item x="26"/>
        <item x="12"/>
        <item x="3"/>
        <item x="5"/>
        <item x="27"/>
        <item x="13"/>
        <item x="16"/>
        <item x="28"/>
        <item x="19"/>
        <item x="17"/>
        <item x="15"/>
        <item x="22"/>
        <item x="21"/>
        <item x="20"/>
        <item x="24"/>
        <item x="14"/>
        <item x="6"/>
        <item x="23"/>
        <item x="25"/>
        <item x="7"/>
        <item x="18"/>
        <item x="3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Items count="1">
    <i/>
  </colItems>
  <pageFields count="1">
    <pageField fld="9" hier="-1"/>
  </pageFields>
  <dataFields count="1">
    <dataField name="Contagem de Subscriber ID" fld="0" subtotal="count" baseField="9" baseItem="1"/>
  </dataFields>
  <chartFormats count="1"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B67959-C0A1-4D74-AC2A-AAF792F8A698}" name="Tabela dinâmica6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1">
  <location ref="G25:H29" firstHeaderRow="1" firstDataRow="1" firstDataCol="1"/>
  <pivotFields count="14"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5">
        <item h="1" x="1"/>
        <item x="0"/>
        <item x="2"/>
        <item h="1" x="3"/>
        <item t="default"/>
      </items>
    </pivotField>
    <pivotField showAll="0"/>
    <pivotField showAll="0">
      <items count="5">
        <item x="0"/>
        <item x="2"/>
        <item x="1"/>
        <item x="3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>
      <items count="13">
        <item x="1"/>
        <item x="4"/>
        <item x="5"/>
        <item x="3"/>
        <item x="0"/>
        <item x="10"/>
        <item x="8"/>
        <item x="2"/>
        <item x="9"/>
        <item x="6"/>
        <item x="7"/>
        <item x="11"/>
        <item t="default"/>
      </items>
    </pivotField>
    <pivotField dataField="1" showAll="0">
      <items count="32">
        <item x="11"/>
        <item x="4"/>
        <item x="1"/>
        <item x="0"/>
        <item x="8"/>
        <item x="9"/>
        <item x="10"/>
        <item x="2"/>
        <item x="29"/>
        <item x="26"/>
        <item x="12"/>
        <item x="3"/>
        <item x="5"/>
        <item x="27"/>
        <item x="13"/>
        <item x="16"/>
        <item x="28"/>
        <item x="19"/>
        <item x="17"/>
        <item x="15"/>
        <item x="22"/>
        <item x="21"/>
        <item x="20"/>
        <item x="24"/>
        <item x="14"/>
        <item x="6"/>
        <item x="23"/>
        <item x="25"/>
        <item x="7"/>
        <item x="18"/>
        <item x="3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Total Value" fld="12" subtotal="count" baseField="2" baseItem="0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AE2BE-EB1B-4212-AA0E-BBC87A02CC00}" name="Tabela dinâmica4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1">
  <location ref="G14:H18" firstHeaderRow="1" firstDataRow="1" firstDataCol="1" rowPageCount="1" colPageCount="1"/>
  <pivotFields count="14"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Page" dataField="1" showAll="0">
      <items count="4">
        <item x="1"/>
        <item x="0"/>
        <item x="2"/>
        <item t="default"/>
      </items>
    </pivotField>
    <pivotField showAll="0"/>
    <pivotField showAll="0">
      <items count="5">
        <item h="1"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4" item="1" hier="-1"/>
  </pageFields>
  <dataFields count="1">
    <dataField name="Contagem de Auto Renewal" fld="4" subtotal="count" baseField="0" baseItem="0"/>
  </dataFields>
  <chartFormats count="4"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57DDE0-7586-456B-ADAF-E0F2E0127713}" name="Tabela dinâmica1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1">
  <location ref="B23:C29" firstHeaderRow="1" firstDataRow="1" firstDataCol="1"/>
  <pivotFields count="14">
    <pivotField dataField="1" showAll="0">
      <items count="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t="default"/>
      </items>
    </pivotField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showAll="0">
      <items count="5">
        <item h="1"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h="1" sd="0" x="1"/>
        <item h="1" sd="0" x="2"/>
        <item sd="0" x="3"/>
        <item h="1" sd="0" x="4"/>
        <item h="1" sd="0" x="5"/>
        <item sd="0" x="6"/>
        <item sd="0" x="7"/>
        <item sd="0" x="8"/>
        <item sd="0" x="9"/>
        <item h="1" sd="0" x="10"/>
        <item h="1" sd="0" x="11"/>
        <item h="1" sd="0" x="12"/>
        <item sd="0" x="13"/>
        <item t="default"/>
      </items>
    </pivotField>
  </pivotFields>
  <rowFields count="1">
    <field x="13"/>
  </rowFields>
  <rowItems count="6">
    <i>
      <x v="3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ntagem de Subscriber ID" fld="0" subtotal="count" baseField="13" baseItem="6"/>
  </dataFields>
  <chartFormats count="1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1E7AB6-A6F4-44C9-BEC2-8829A7E49A7D}" name="Tabela dinâmica3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7">
  <location ref="B13:C16" firstHeaderRow="1" firstDataRow="1" firstDataCol="1" rowPageCount="1" colPageCount="1"/>
  <pivotFields count="14"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Page" showAll="0">
      <items count="4">
        <item x="1"/>
        <item x="0"/>
        <item x="2"/>
        <item t="default"/>
      </items>
    </pivotField>
    <pivotField showAll="0"/>
    <pivotField axis="axisRow" showAll="0">
      <items count="5">
        <item h="1"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3">
    <i>
      <x v="1"/>
    </i>
    <i>
      <x v="2"/>
    </i>
    <i t="grand">
      <x/>
    </i>
  </rowItems>
  <colItems count="1">
    <i/>
  </colItems>
  <pageFields count="1">
    <pageField fld="4" item="1" hier="-1"/>
  </pageFields>
  <dataFields count="1">
    <dataField name="Soma de Total Value" fld="12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CEB70CFD-0641-4457-8091-F3AC85CB7FAB}" sourceName="Subscription Type">
  <pivotTables>
    <pivotTable tabId="3" name="Tabela dinâmica3"/>
    <pivotTable tabId="3" name="Tabela dinâmica1"/>
    <pivotTable tabId="3" name="Tabela dinâmica4"/>
    <pivotTable tabId="3" name="Tabela dinâmica6"/>
    <pivotTable tabId="3" name="Tabela dinâmica7"/>
    <pivotTable tabId="3" name="Tabela dinâmica8"/>
  </pivotTables>
  <data>
    <tabular pivotCacheId="1016025617">
      <items count="4">
        <i x="1"/>
        <i x="0" s="1"/>
        <i x="2" s="1"/>
        <i x="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" xr10:uid="{E9E5DAF0-A87E-4409-89C2-EE320674ED3F}" sourceName="Meses">
  <pivotTables>
    <pivotTable tabId="3" name="Tabela dinâmica1"/>
  </pivotTables>
  <data>
    <tabular pivotCacheId="1016025617">
      <items count="14">
        <i x="1"/>
        <i x="2"/>
        <i x="3" s="1"/>
        <i x="4"/>
        <i x="5"/>
        <i x="6" s="1"/>
        <i x="7" s="1"/>
        <i x="8" s="1"/>
        <i x="9" s="1"/>
        <i x="10"/>
        <i x="11"/>
        <i x="12"/>
        <i x="0" s="1" nd="1"/>
        <i x="1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6CA52E1E-BE28-436D-AFF8-28FA5100D9A9}" cache="SegmentaçãodeDados_Subscription_Type" caption="Subscription Type" style="SlicerStyleLight6" rowHeight="241300"/>
  <slicer name="Meses" xr10:uid="{BC4AC743-18B2-4C92-B58B-45F0D6DB21BB}" cache="SegmentaçãodeDados_Meses" caption="Meses" style="SlicerStyleLight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7" totalsRowShown="0" dataDxfId="13">
  <autoFilter ref="A1:M297" xr:uid="{34E0E886-4200-4B36-97B3-63DB74FF40A0}">
    <filterColumn colId="9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topLeftCell="A13" zoomScaleNormal="100" workbookViewId="0">
      <selection activeCell="A8" sqref="A8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7"/>
  <sheetViews>
    <sheetView topLeftCell="F262" zoomScale="90" zoomScaleNormal="90" workbookViewId="0">
      <selection activeCell="A8" sqref="A8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style="16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14" t="s">
        <v>33</v>
      </c>
    </row>
    <row r="2" spans="1:13" ht="16.5" hidden="1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f>IF(C2="Ultimate",15,IF(C2="Standard",10,IF(C2="Core",5,"")))</f>
        <v>15</v>
      </c>
      <c r="G2" s="8" t="s">
        <v>20</v>
      </c>
      <c r="H2" s="8" t="s">
        <v>23</v>
      </c>
      <c r="I2" s="11">
        <f>IF(Tabela1[[#This Row],[EA Play Season Pass]]="Yes",30,0)</f>
        <v>0</v>
      </c>
      <c r="J2" s="8" t="s">
        <v>23</v>
      </c>
      <c r="K2" s="11">
        <f>IF(Tabela1[[#This Row],[Minecraft Season Pass]]="Yes",20,0)</f>
        <v>0</v>
      </c>
      <c r="L2" s="11">
        <v>5</v>
      </c>
      <c r="M2" s="15">
        <f>SUM(F2,I2,K2-Tabela1[[#This Row],[Coupon Value]])</f>
        <v>10</v>
      </c>
    </row>
    <row r="3" spans="1:13" ht="16.5" hidden="1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26</v>
      </c>
      <c r="D5" s="10">
        <v>45342</v>
      </c>
      <c r="E5" s="8" t="s">
        <v>23</v>
      </c>
      <c r="F5" s="11">
        <f>IF(C5="Ultimate",15,IF(C5="Standard",10,IF(C5="Core",5,"")))</f>
        <v>10</v>
      </c>
      <c r="G5" s="8" t="s">
        <v>20</v>
      </c>
      <c r="H5" s="8" t="s">
        <v>23</v>
      </c>
      <c r="I5" s="11">
        <f>IF(Tabela1[[#This Row],[EA Play Season Pass]]="Yes",30,0)</f>
        <v>0</v>
      </c>
      <c r="J5" s="8" t="s">
        <v>19</v>
      </c>
      <c r="K5" s="11">
        <f>IF(Tabela1[[#This Row],[Minecraft Season Pass]]="Yes",20,0)</f>
        <v>20</v>
      </c>
      <c r="L5" s="11">
        <v>3</v>
      </c>
      <c r="M5" s="15">
        <f>SUM(F5,I5,K5-Tabela1[[#This Row],[Coupon Value]])</f>
        <v>27</v>
      </c>
    </row>
    <row r="6" spans="1:13" ht="16.5" hidden="1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f>IF(C8="Ultimate",15,IF(C8="Standard",10,IF(C8="Core",5,"")))</f>
        <v>15</v>
      </c>
      <c r="G8" s="8" t="s">
        <v>27</v>
      </c>
      <c r="H8" s="8" t="s">
        <v>19</v>
      </c>
      <c r="I8" s="11">
        <f>IF(Tabela1[[#This Row],[EA Play Season Pass]]="Yes",30,0)</f>
        <v>30</v>
      </c>
      <c r="J8" s="8" t="s">
        <v>19</v>
      </c>
      <c r="K8" s="11">
        <f>IF(Tabela1[[#This Row],[Minecraft Season Pass]]="Yes",20,0)</f>
        <v>20</v>
      </c>
      <c r="L8" s="11">
        <v>10</v>
      </c>
      <c r="M8" s="15">
        <f>SUM(F8,I8,K8-Tabela1[[#This Row],[Coupon Value]])</f>
        <v>55</v>
      </c>
    </row>
    <row r="9" spans="1:13" ht="16.5" hidden="1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f>IF(C10="Ultimate",15,IF(C10="Standard",10,IF(C10="Core",5,"")))</f>
        <v>15</v>
      </c>
      <c r="G10" s="8" t="s">
        <v>20</v>
      </c>
      <c r="H10" s="8" t="s">
        <v>19</v>
      </c>
      <c r="I10" s="11">
        <f>IF(Tabela1[[#This Row],[EA Play Season Pass]]="Yes",30,0)</f>
        <v>30</v>
      </c>
      <c r="J10" s="8" t="s">
        <v>19</v>
      </c>
      <c r="K10" s="11">
        <f>IF(Tabela1[[#This Row],[Minecraft Season Pass]]="Yes",20,0)</f>
        <v>20</v>
      </c>
      <c r="L10" s="11">
        <v>5</v>
      </c>
      <c r="M10" s="15">
        <f>SUM(F10,I10,K10-Tabela1[[#This Row],[Coupon Value]])</f>
        <v>60</v>
      </c>
    </row>
    <row r="11" spans="1:13" ht="16.5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f>IF(C13="Ultimate",15,IF(C13="Standard",10,IF(C13="Core",5,"")))</f>
        <v>15</v>
      </c>
      <c r="G13" s="8" t="s">
        <v>24</v>
      </c>
      <c r="H13" s="8" t="s">
        <v>23</v>
      </c>
      <c r="I13" s="11">
        <f>IF(Tabela1[[#This Row],[EA Play Season Pass]]="Yes",30,0)</f>
        <v>0</v>
      </c>
      <c r="J13" s="8" t="s">
        <v>19</v>
      </c>
      <c r="K13" s="11">
        <f>IF(Tabela1[[#This Row],[Minecraft Season Pass]]="Yes",20,0)</f>
        <v>20</v>
      </c>
      <c r="L13" s="11">
        <v>20</v>
      </c>
      <c r="M13" s="15">
        <f>SUM(F13,I13,K13-Tabela1[[#This Row],[Coupon Value]])</f>
        <v>15</v>
      </c>
    </row>
    <row r="14" spans="1:13" ht="16.5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22</v>
      </c>
      <c r="D16" s="10">
        <v>45362</v>
      </c>
      <c r="E16" s="8" t="s">
        <v>23</v>
      </c>
      <c r="F16" s="11">
        <f>IF(C16="Ultimate",15,IF(C16="Standard",10,IF(C16="Core",5,"")))</f>
        <v>5</v>
      </c>
      <c r="G16" s="8" t="s">
        <v>20</v>
      </c>
      <c r="H16" s="8" t="s">
        <v>23</v>
      </c>
      <c r="I16" s="11">
        <f>IF(Tabela1[[#This Row],[EA Play Season Pass]]="Yes",30,0)</f>
        <v>0</v>
      </c>
      <c r="J16" s="8" t="s">
        <v>19</v>
      </c>
      <c r="K16" s="11">
        <f>IF(Tabela1[[#This Row],[Minecraft Season Pass]]="Yes",20,0)</f>
        <v>20</v>
      </c>
      <c r="L16" s="11">
        <v>8</v>
      </c>
      <c r="M16" s="15">
        <f>SUM(F16,I16,K16-Tabela1[[#This Row],[Coupon Value]])</f>
        <v>17</v>
      </c>
    </row>
    <row r="17" spans="1:13" ht="16.5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f>IF(C19="Ultimate",15,IF(C19="Standard",10,IF(C19="Core",5,"")))</f>
        <v>15</v>
      </c>
      <c r="G19" s="8" t="s">
        <v>27</v>
      </c>
      <c r="H19" s="8" t="s">
        <v>23</v>
      </c>
      <c r="I19" s="11">
        <f>IF(Tabela1[[#This Row],[EA Play Season Pass]]="Yes",30,0)</f>
        <v>0</v>
      </c>
      <c r="J19" s="8" t="s">
        <v>19</v>
      </c>
      <c r="K19" s="11">
        <f>IF(Tabela1[[#This Row],[Minecraft Season Pass]]="Yes",20,0)</f>
        <v>20</v>
      </c>
      <c r="L19" s="11">
        <v>7</v>
      </c>
      <c r="M19" s="15">
        <f>SUM(F19,I19,K19-Tabela1[[#This Row],[Coupon Value]])</f>
        <v>28</v>
      </c>
    </row>
    <row r="20" spans="1:13" ht="16.5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f>IF(C22="Ultimate",15,IF(C22="Standard",10,IF(C22="Core",5,"")))</f>
        <v>15</v>
      </c>
      <c r="G22" s="8" t="s">
        <v>20</v>
      </c>
      <c r="H22" s="8" t="s">
        <v>23</v>
      </c>
      <c r="I22" s="11">
        <f>IF(Tabela1[[#This Row],[EA Play Season Pass]]="Yes",30,0)</f>
        <v>0</v>
      </c>
      <c r="J22" s="8" t="s">
        <v>19</v>
      </c>
      <c r="K22" s="11">
        <f>IF(Tabela1[[#This Row],[Minecraft Season Pass]]="Yes",20,0)</f>
        <v>20</v>
      </c>
      <c r="L22" s="11">
        <v>3</v>
      </c>
      <c r="M22" s="15">
        <f>SUM(F22,I22,K22-Tabela1[[#This Row],[Coupon Value]])</f>
        <v>32</v>
      </c>
    </row>
    <row r="23" spans="1:13" ht="16.5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26</v>
      </c>
      <c r="D25" s="10">
        <v>45371</v>
      </c>
      <c r="E25" s="8" t="s">
        <v>19</v>
      </c>
      <c r="F25" s="11">
        <f>IF(C25="Ultimate",15,IF(C25="Standard",10,IF(C25="Core",5,"")))</f>
        <v>10</v>
      </c>
      <c r="G25" s="8" t="s">
        <v>24</v>
      </c>
      <c r="H25" s="8" t="s">
        <v>23</v>
      </c>
      <c r="I25" s="11">
        <f>IF(Tabela1[[#This Row],[EA Play Season Pass]]="Yes",30,0)</f>
        <v>0</v>
      </c>
      <c r="J25" s="8" t="s">
        <v>19</v>
      </c>
      <c r="K25" s="11">
        <f>IF(Tabela1[[#This Row],[Minecraft Season Pass]]="Yes",20,0)</f>
        <v>20</v>
      </c>
      <c r="L25" s="11">
        <v>20</v>
      </c>
      <c r="M25" s="15">
        <f>SUM(F25,I25,K25-Tabela1[[#This Row],[Coupon Value]])</f>
        <v>10</v>
      </c>
    </row>
    <row r="26" spans="1:13" ht="16.5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26</v>
      </c>
      <c r="D28" s="10">
        <v>45374</v>
      </c>
      <c r="E28" s="8" t="s">
        <v>23</v>
      </c>
      <c r="F28" s="11">
        <f>IF(C28="Ultimate",15,IF(C28="Standard",10,IF(C28="Core",5,"")))</f>
        <v>10</v>
      </c>
      <c r="G28" s="8" t="s">
        <v>20</v>
      </c>
      <c r="H28" s="8" t="s">
        <v>23</v>
      </c>
      <c r="I28" s="11">
        <f>IF(Tabela1[[#This Row],[EA Play Season Pass]]="Yes",30,0)</f>
        <v>0</v>
      </c>
      <c r="J28" s="8" t="s">
        <v>19</v>
      </c>
      <c r="K28" s="11">
        <f>IF(Tabela1[[#This Row],[Minecraft Season Pass]]="Yes",20,0)</f>
        <v>20</v>
      </c>
      <c r="L28" s="11">
        <v>5</v>
      </c>
      <c r="M28" s="15">
        <f>SUM(F28,I28,K28-Tabela1[[#This Row],[Coupon Value]])</f>
        <v>25</v>
      </c>
    </row>
    <row r="29" spans="1:13" ht="16.5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26</v>
      </c>
      <c r="D31" s="10">
        <v>45377</v>
      </c>
      <c r="E31" s="8" t="s">
        <v>19</v>
      </c>
      <c r="F31" s="11">
        <f>IF(C31="Ultimate",15,IF(C31="Standard",10,IF(C31="Core",5,"")))</f>
        <v>10</v>
      </c>
      <c r="G31" s="8" t="s">
        <v>27</v>
      </c>
      <c r="H31" s="8" t="s">
        <v>19</v>
      </c>
      <c r="I31" s="11">
        <f>IF(Tabela1[[#This Row],[EA Play Season Pass]]="Yes",30,0)</f>
        <v>30</v>
      </c>
      <c r="J31" s="8" t="s">
        <v>19</v>
      </c>
      <c r="K31" s="11">
        <f>IF(Tabela1[[#This Row],[Minecraft Season Pass]]="Yes",20,0)</f>
        <v>20</v>
      </c>
      <c r="L31" s="11">
        <v>7</v>
      </c>
      <c r="M31" s="15">
        <f>SUM(F31,I31,K31-Tabela1[[#This Row],[Coupon Value]])</f>
        <v>53</v>
      </c>
    </row>
    <row r="32" spans="1:13" ht="16.5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hidden="1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f>IF(C34="Ultimate",15,IF(C34="Standard",10,IF(C34="Core",5,"")))</f>
        <v>15</v>
      </c>
      <c r="G34" s="8" t="s">
        <v>20</v>
      </c>
      <c r="H34" s="8" t="s">
        <v>19</v>
      </c>
      <c r="I34" s="11">
        <f>IF(Tabela1[[#This Row],[EA Play Season Pass]]="Yes",30,0)</f>
        <v>30</v>
      </c>
      <c r="J34" s="8" t="s">
        <v>23</v>
      </c>
      <c r="K34" s="11">
        <f>IF(Tabela1[[#This Row],[Minecraft Season Pass]]="Yes",20,0)</f>
        <v>0</v>
      </c>
      <c r="L34" s="11">
        <v>3</v>
      </c>
      <c r="M34" s="15">
        <f>SUM(F34,I34,K34-Tabela1[[#This Row],[Coupon Value]])</f>
        <v>42</v>
      </c>
    </row>
    <row r="35" spans="1:13" ht="16.5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f>IF(C38="Ultimate",15,IF(C38="Standard",10,IF(C38="Core",5,"")))</f>
        <v>15</v>
      </c>
      <c r="G38" s="8" t="s">
        <v>27</v>
      </c>
      <c r="H38" s="8" t="s">
        <v>23</v>
      </c>
      <c r="I38" s="11">
        <f>IF(Tabela1[[#This Row],[EA Play Season Pass]]="Yes",30,0)</f>
        <v>0</v>
      </c>
      <c r="J38" s="8" t="s">
        <v>19</v>
      </c>
      <c r="K38" s="11">
        <f>IF(Tabela1[[#This Row],[Minecraft Season Pass]]="Yes",20,0)</f>
        <v>20</v>
      </c>
      <c r="L38" s="11">
        <v>7</v>
      </c>
      <c r="M38" s="15">
        <f>SUM(F38,I38,K38-Tabela1[[#This Row],[Coupon Value]])</f>
        <v>28</v>
      </c>
    </row>
    <row r="39" spans="1:13" ht="16.5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f>IF(C41="Ultimate",15,IF(C41="Standard",10,IF(C41="Core",5,"")))</f>
        <v>15</v>
      </c>
      <c r="G41" s="8" t="s">
        <v>20</v>
      </c>
      <c r="H41" s="8" t="s">
        <v>23</v>
      </c>
      <c r="I41" s="11">
        <f>IF(Tabela1[[#This Row],[EA Play Season Pass]]="Yes",30,0)</f>
        <v>0</v>
      </c>
      <c r="J41" s="8" t="s">
        <v>19</v>
      </c>
      <c r="K41" s="11">
        <f>IF(Tabela1[[#This Row],[Minecraft Season Pass]]="Yes",20,0)</f>
        <v>20</v>
      </c>
      <c r="L41" s="11">
        <v>15</v>
      </c>
      <c r="M41" s="15">
        <f>SUM(F41,I41,K41-Tabela1[[#This Row],[Coupon Value]])</f>
        <v>20</v>
      </c>
    </row>
    <row r="42" spans="1:13" ht="16.5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22</v>
      </c>
      <c r="D44" s="10">
        <v>45390</v>
      </c>
      <c r="E44" s="8" t="s">
        <v>23</v>
      </c>
      <c r="F44" s="11">
        <f>IF(C44="Ultimate",15,IF(C44="Standard",10,IF(C44="Core",5,"")))</f>
        <v>5</v>
      </c>
      <c r="G44" s="8" t="s">
        <v>27</v>
      </c>
      <c r="H44" s="8" t="s">
        <v>19</v>
      </c>
      <c r="I44" s="11">
        <f>IF(Tabela1[[#This Row],[EA Play Season Pass]]="Yes",30,0)</f>
        <v>30</v>
      </c>
      <c r="J44" s="8" t="s">
        <v>19</v>
      </c>
      <c r="K44" s="11">
        <f>IF(Tabela1[[#This Row],[Minecraft Season Pass]]="Yes",20,0)</f>
        <v>20</v>
      </c>
      <c r="L44" s="11">
        <v>20</v>
      </c>
      <c r="M44" s="15">
        <f>SUM(F44,I44,K44-Tabela1[[#This Row],[Coupon Value]])</f>
        <v>35</v>
      </c>
    </row>
    <row r="45" spans="1:13" ht="16.5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hidden="1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f>IF(C47="Ultimate",15,IF(C47="Standard",10,IF(C47="Core",5,"")))</f>
        <v>15</v>
      </c>
      <c r="G47" s="8" t="s">
        <v>24</v>
      </c>
      <c r="H47" s="8" t="s">
        <v>19</v>
      </c>
      <c r="I47" s="11">
        <f>IF(Tabela1[[#This Row],[EA Play Season Pass]]="Yes",30,0)</f>
        <v>30</v>
      </c>
      <c r="J47" s="8" t="s">
        <v>23</v>
      </c>
      <c r="K47" s="11">
        <f>IF(Tabela1[[#This Row],[Minecraft Season Pass]]="Yes",20,0)</f>
        <v>0</v>
      </c>
      <c r="L47" s="11">
        <v>5</v>
      </c>
      <c r="M47" s="15">
        <f>SUM(F47,I47,K47-Tabela1[[#This Row],[Coupon Value]])</f>
        <v>40</v>
      </c>
    </row>
    <row r="48" spans="1:13" ht="16.5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f>IF(C50="Ultimate",15,IF(C50="Standard",10,IF(C50="Core",5,"")))</f>
        <v>15</v>
      </c>
      <c r="G50" s="8" t="s">
        <v>20</v>
      </c>
      <c r="H50" s="8" t="s">
        <v>19</v>
      </c>
      <c r="I50" s="11">
        <f>IF(Tabela1[[#This Row],[EA Play Season Pass]]="Yes",30,0)</f>
        <v>30</v>
      </c>
      <c r="J50" s="8" t="s">
        <v>19</v>
      </c>
      <c r="K50" s="11">
        <f>IF(Tabela1[[#This Row],[Minecraft Season Pass]]="Yes",20,0)</f>
        <v>20</v>
      </c>
      <c r="L50" s="11">
        <v>3</v>
      </c>
      <c r="M50" s="15">
        <f>SUM(F50,I50,K50-Tabela1[[#This Row],[Coupon Value]])</f>
        <v>62</v>
      </c>
    </row>
    <row r="51" spans="1:13" ht="16.5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hidden="1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f>IF(C53="Ultimate",15,IF(C53="Standard",10,IF(C53="Core",5,"")))</f>
        <v>15</v>
      </c>
      <c r="G53" s="8" t="s">
        <v>27</v>
      </c>
      <c r="H53" s="8" t="s">
        <v>19</v>
      </c>
      <c r="I53" s="11">
        <f>IF(Tabela1[[#This Row],[EA Play Season Pass]]="Yes",30,0)</f>
        <v>30</v>
      </c>
      <c r="J53" s="8" t="s">
        <v>23</v>
      </c>
      <c r="K53" s="11">
        <f>IF(Tabela1[[#This Row],[Minecraft Season Pass]]="Yes",20,0)</f>
        <v>0</v>
      </c>
      <c r="L53" s="11">
        <v>7</v>
      </c>
      <c r="M53" s="15">
        <f>SUM(F53,I53,K53-Tabela1[[#This Row],[Coupon Value]])</f>
        <v>38</v>
      </c>
    </row>
    <row r="54" spans="1:13" ht="16.5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22</v>
      </c>
      <c r="D56" s="10">
        <v>45402</v>
      </c>
      <c r="E56" s="8" t="s">
        <v>23</v>
      </c>
      <c r="F56" s="11">
        <f>IF(C56="Ultimate",15,IF(C56="Standard",10,IF(C56="Core",5,"")))</f>
        <v>5</v>
      </c>
      <c r="G56" s="8" t="s">
        <v>20</v>
      </c>
      <c r="H56" s="8" t="s">
        <v>19</v>
      </c>
      <c r="I56" s="11">
        <f>IF(Tabela1[[#This Row],[EA Play Season Pass]]="Yes",30,0)</f>
        <v>30</v>
      </c>
      <c r="J56" s="8" t="s">
        <v>19</v>
      </c>
      <c r="K56" s="11">
        <f>IF(Tabela1[[#This Row],[Minecraft Season Pass]]="Yes",20,0)</f>
        <v>20</v>
      </c>
      <c r="L56" s="11">
        <v>20</v>
      </c>
      <c r="M56" s="15">
        <f>SUM(F56,I56,K56-Tabela1[[#This Row],[Coupon Value]])</f>
        <v>35</v>
      </c>
    </row>
    <row r="57" spans="1:13" ht="16.5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hidden="1" customHeight="1">
      <c r="A59" s="8">
        <v>3288</v>
      </c>
      <c r="B59" s="8" t="s">
        <v>86</v>
      </c>
      <c r="C59" s="8" t="s">
        <v>22</v>
      </c>
      <c r="D59" s="10">
        <v>45405</v>
      </c>
      <c r="E59" s="8" t="s">
        <v>19</v>
      </c>
      <c r="F59" s="11">
        <f>IF(C59="Ultimate",15,IF(C59="Standard",10,IF(C59="Core",5,"")))</f>
        <v>5</v>
      </c>
      <c r="G59" s="8" t="s">
        <v>24</v>
      </c>
      <c r="H59" s="8" t="s">
        <v>19</v>
      </c>
      <c r="I59" s="11">
        <f>IF(Tabela1[[#This Row],[EA Play Season Pass]]="Yes",30,0)</f>
        <v>30</v>
      </c>
      <c r="J59" s="8" t="s">
        <v>23</v>
      </c>
      <c r="K59" s="11">
        <f>IF(Tabela1[[#This Row],[Minecraft Season Pass]]="Yes",20,0)</f>
        <v>0</v>
      </c>
      <c r="L59" s="11">
        <v>3</v>
      </c>
      <c r="M59" s="15">
        <f>SUM(F59,I59,K59-Tabela1[[#This Row],[Coupon Value]])</f>
        <v>32</v>
      </c>
    </row>
    <row r="60" spans="1:13" ht="16.5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22</v>
      </c>
      <c r="D62" s="10">
        <v>45408</v>
      </c>
      <c r="E62" s="8" t="s">
        <v>23</v>
      </c>
      <c r="F62" s="11">
        <f>IF(C62="Ultimate",15,IF(C62="Standard",10,IF(C62="Core",5,"")))</f>
        <v>5</v>
      </c>
      <c r="G62" s="8" t="s">
        <v>20</v>
      </c>
      <c r="H62" s="8" t="s">
        <v>19</v>
      </c>
      <c r="I62" s="11">
        <f>IF(Tabela1[[#This Row],[EA Play Season Pass]]="Yes",30,0)</f>
        <v>30</v>
      </c>
      <c r="J62" s="8" t="s">
        <v>19</v>
      </c>
      <c r="K62" s="11">
        <f>IF(Tabela1[[#This Row],[Minecraft Season Pass]]="Yes",20,0)</f>
        <v>20</v>
      </c>
      <c r="L62" s="11">
        <v>5</v>
      </c>
      <c r="M62" s="15">
        <f>SUM(F62,I62,K62-Tabela1[[#This Row],[Coupon Value]])</f>
        <v>50</v>
      </c>
    </row>
    <row r="63" spans="1:13" ht="16.5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22</v>
      </c>
      <c r="D65" s="10">
        <v>45411</v>
      </c>
      <c r="E65" s="8" t="s">
        <v>19</v>
      </c>
      <c r="F65" s="11">
        <f>IF(C65="Ultimate",15,IF(C65="Standard",10,IF(C65="Core",5,"")))</f>
        <v>5</v>
      </c>
      <c r="G65" s="8" t="s">
        <v>27</v>
      </c>
      <c r="H65" s="8" t="s">
        <v>19</v>
      </c>
      <c r="I65" s="11">
        <f>IF(Tabela1[[#This Row],[EA Play Season Pass]]="Yes",30,0)</f>
        <v>30</v>
      </c>
      <c r="J65" s="8" t="s">
        <v>19</v>
      </c>
      <c r="K65" s="11">
        <f>IF(Tabela1[[#This Row],[Minecraft Season Pass]]="Yes",20,0)</f>
        <v>20</v>
      </c>
      <c r="L65" s="11">
        <v>20</v>
      </c>
      <c r="M65" s="15">
        <f>SUM(F65,I65,K65-Tabela1[[#This Row],[Coupon Value]])</f>
        <v>35</v>
      </c>
    </row>
    <row r="66" spans="1:13" ht="16.5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22</v>
      </c>
      <c r="D68" s="10">
        <v>45414</v>
      </c>
      <c r="E68" s="8" t="s">
        <v>19</v>
      </c>
      <c r="F68" s="11">
        <f>IF(C68="Ultimate",15,IF(C68="Standard",10,IF(C68="Core",5,"")))</f>
        <v>5</v>
      </c>
      <c r="G68" s="8" t="s">
        <v>27</v>
      </c>
      <c r="H68" s="8" t="s">
        <v>19</v>
      </c>
      <c r="I68" s="11">
        <f>IF(Tabela1[[#This Row],[EA Play Season Pass]]="Yes",30,0)</f>
        <v>30</v>
      </c>
      <c r="J68" s="8" t="s">
        <v>19</v>
      </c>
      <c r="K68" s="11">
        <f>IF(Tabela1[[#This Row],[Minecraft Season Pass]]="Yes",20,0)</f>
        <v>20</v>
      </c>
      <c r="L68" s="11">
        <v>7</v>
      </c>
      <c r="M68" s="15">
        <f>SUM(F68,I68,K68-Tabela1[[#This Row],[Coupon Value]])</f>
        <v>48</v>
      </c>
    </row>
    <row r="69" spans="1:13" ht="16.5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hidden="1" customHeight="1">
      <c r="A71" s="8">
        <v>3300</v>
      </c>
      <c r="B71" s="8" t="s">
        <v>98</v>
      </c>
      <c r="C71" s="8" t="s">
        <v>22</v>
      </c>
      <c r="D71" s="10">
        <v>45417</v>
      </c>
      <c r="E71" s="8" t="s">
        <v>23</v>
      </c>
      <c r="F71" s="11">
        <f>IF(C71="Ultimate",15,IF(C71="Standard",10,IF(C71="Core",5,"")))</f>
        <v>5</v>
      </c>
      <c r="G71" s="8" t="s">
        <v>20</v>
      </c>
      <c r="H71" s="8" t="s">
        <v>19</v>
      </c>
      <c r="I71" s="11">
        <f>IF(Tabela1[[#This Row],[EA Play Season Pass]]="Yes",30,0)</f>
        <v>30</v>
      </c>
      <c r="J71" s="8" t="s">
        <v>23</v>
      </c>
      <c r="K71" s="11">
        <f>IF(Tabela1[[#This Row],[Minecraft Season Pass]]="Yes",20,0)</f>
        <v>0</v>
      </c>
      <c r="L71" s="11">
        <v>15</v>
      </c>
      <c r="M71" s="15">
        <f>SUM(F71,I71,K71-Tabela1[[#This Row],[Coupon Value]])</f>
        <v>20</v>
      </c>
    </row>
    <row r="72" spans="1:13" ht="16.5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f>IF(C74="Ultimate",15,IF(C74="Standard",10,IF(C74="Core",5,"")))</f>
        <v>15</v>
      </c>
      <c r="G74" s="8" t="s">
        <v>27</v>
      </c>
      <c r="H74" s="8" t="s">
        <v>19</v>
      </c>
      <c r="I74" s="11">
        <f>IF(Tabela1[[#This Row],[EA Play Season Pass]]="Yes",30,0)</f>
        <v>30</v>
      </c>
      <c r="J74" s="8" t="s">
        <v>19</v>
      </c>
      <c r="K74" s="11">
        <f>IF(Tabela1[[#This Row],[Minecraft Season Pass]]="Yes",20,0)</f>
        <v>20</v>
      </c>
      <c r="L74" s="11">
        <v>20</v>
      </c>
      <c r="M74" s="15">
        <f>SUM(F74,I74,K74-Tabela1[[#This Row],[Coupon Value]])</f>
        <v>45</v>
      </c>
    </row>
    <row r="75" spans="1:13" ht="16.5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f>IF(C77="Ultimate",15,IF(C77="Standard",10,IF(C77="Core",5,"")))</f>
        <v>15</v>
      </c>
      <c r="G77" s="8" t="s">
        <v>24</v>
      </c>
      <c r="H77" s="8" t="s">
        <v>19</v>
      </c>
      <c r="I77" s="11">
        <f>IF(Tabela1[[#This Row],[EA Play Season Pass]]="Yes",30,0)</f>
        <v>30</v>
      </c>
      <c r="J77" s="8" t="s">
        <v>19</v>
      </c>
      <c r="K77" s="11">
        <f>IF(Tabela1[[#This Row],[Minecraft Season Pass]]="Yes",20,0)</f>
        <v>20</v>
      </c>
      <c r="L77" s="11">
        <v>5</v>
      </c>
      <c r="M77" s="15">
        <f>SUM(F77,I77,K77-Tabela1[[#This Row],[Coupon Value]])</f>
        <v>60</v>
      </c>
    </row>
    <row r="78" spans="1:13" ht="16.5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26</v>
      </c>
      <c r="D80" s="10">
        <v>45426</v>
      </c>
      <c r="E80" s="8" t="s">
        <v>19</v>
      </c>
      <c r="F80" s="11">
        <f>IF(C80="Ultimate",15,IF(C80="Standard",10,IF(C80="Core",5,"")))</f>
        <v>10</v>
      </c>
      <c r="G80" s="8" t="s">
        <v>20</v>
      </c>
      <c r="H80" s="8" t="s">
        <v>19</v>
      </c>
      <c r="I80" s="11">
        <f>IF(Tabela1[[#This Row],[EA Play Season Pass]]="Yes",30,0)</f>
        <v>30</v>
      </c>
      <c r="J80" s="8" t="s">
        <v>19</v>
      </c>
      <c r="K80" s="11">
        <f>IF(Tabela1[[#This Row],[Minecraft Season Pass]]="Yes",20,0)</f>
        <v>20</v>
      </c>
      <c r="L80" s="11">
        <v>3</v>
      </c>
      <c r="M80" s="15">
        <f>SUM(F80,I80,K80-Tabela1[[#This Row],[Coupon Value]])</f>
        <v>57</v>
      </c>
    </row>
    <row r="81" spans="1:13" ht="16.5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26</v>
      </c>
      <c r="D83" s="10">
        <v>45429</v>
      </c>
      <c r="E83" s="8" t="s">
        <v>23</v>
      </c>
      <c r="F83" s="11">
        <f>IF(C83="Ultimate",15,IF(C83="Standard",10,IF(C83="Core",5,"")))</f>
        <v>10</v>
      </c>
      <c r="G83" s="8" t="s">
        <v>27</v>
      </c>
      <c r="H83" s="8" t="s">
        <v>19</v>
      </c>
      <c r="I83" s="11">
        <f>IF(Tabela1[[#This Row],[EA Play Season Pass]]="Yes",30,0)</f>
        <v>30</v>
      </c>
      <c r="J83" s="8" t="s">
        <v>19</v>
      </c>
      <c r="K83" s="11">
        <f>IF(Tabela1[[#This Row],[Minecraft Season Pass]]="Yes",20,0)</f>
        <v>20</v>
      </c>
      <c r="L83" s="11">
        <v>7</v>
      </c>
      <c r="M83" s="15">
        <f>SUM(F83,I83,K83-Tabela1[[#This Row],[Coupon Value]])</f>
        <v>53</v>
      </c>
    </row>
    <row r="84" spans="1:13" ht="16.5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26</v>
      </c>
      <c r="D86" s="10">
        <v>45432</v>
      </c>
      <c r="E86" s="8" t="s">
        <v>19</v>
      </c>
      <c r="F86" s="11">
        <f>IF(C86="Ultimate",15,IF(C86="Standard",10,IF(C86="Core",5,"")))</f>
        <v>10</v>
      </c>
      <c r="G86" s="8" t="s">
        <v>20</v>
      </c>
      <c r="H86" s="8" t="s">
        <v>19</v>
      </c>
      <c r="I86" s="11">
        <f>IF(Tabela1[[#This Row],[EA Play Season Pass]]="Yes",30,0)</f>
        <v>30</v>
      </c>
      <c r="J86" s="8" t="s">
        <v>19</v>
      </c>
      <c r="K86" s="11">
        <f>IF(Tabela1[[#This Row],[Minecraft Season Pass]]="Yes",20,0)</f>
        <v>20</v>
      </c>
      <c r="L86" s="11">
        <v>20</v>
      </c>
      <c r="M86" s="15">
        <f>SUM(F86,I86,K86-Tabela1[[#This Row],[Coupon Value]])</f>
        <v>40</v>
      </c>
    </row>
    <row r="87" spans="1:13" ht="16.5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26</v>
      </c>
      <c r="D89" s="10">
        <v>45435</v>
      </c>
      <c r="E89" s="8" t="s">
        <v>23</v>
      </c>
      <c r="F89" s="11">
        <f>IF(C89="Ultimate",15,IF(C89="Standard",10,IF(C89="Core",5,"")))</f>
        <v>10</v>
      </c>
      <c r="G89" s="8" t="s">
        <v>24</v>
      </c>
      <c r="H89" s="8" t="s">
        <v>19</v>
      </c>
      <c r="I89" s="11">
        <f>IF(Tabela1[[#This Row],[EA Play Season Pass]]="Yes",30,0)</f>
        <v>30</v>
      </c>
      <c r="J89" s="8" t="s">
        <v>19</v>
      </c>
      <c r="K89" s="11">
        <f>IF(Tabela1[[#This Row],[Minecraft Season Pass]]="Yes",20,0)</f>
        <v>20</v>
      </c>
      <c r="L89" s="11">
        <v>3</v>
      </c>
      <c r="M89" s="15">
        <f>SUM(F89,I89,K89-Tabela1[[#This Row],[Coupon Value]])</f>
        <v>57</v>
      </c>
    </row>
    <row r="90" spans="1:13" ht="16.5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hidden="1" customHeight="1">
      <c r="A92" s="8">
        <v>3321</v>
      </c>
      <c r="B92" s="8" t="s">
        <v>119</v>
      </c>
      <c r="C92" s="8" t="s">
        <v>26</v>
      </c>
      <c r="D92" s="10">
        <v>45438</v>
      </c>
      <c r="E92" s="8" t="s">
        <v>19</v>
      </c>
      <c r="F92" s="11">
        <f>IF(C92="Ultimate",15,IF(C92="Standard",10,IF(C92="Core",5,"")))</f>
        <v>10</v>
      </c>
      <c r="G92" s="8" t="s">
        <v>20</v>
      </c>
      <c r="H92" s="8" t="s">
        <v>19</v>
      </c>
      <c r="I92" s="11">
        <f>IF(Tabela1[[#This Row],[EA Play Season Pass]]="Yes",30,0)</f>
        <v>30</v>
      </c>
      <c r="J92" s="8" t="s">
        <v>23</v>
      </c>
      <c r="K92" s="11">
        <f>IF(Tabela1[[#This Row],[Minecraft Season Pass]]="Yes",20,0)</f>
        <v>0</v>
      </c>
      <c r="L92" s="11">
        <v>5</v>
      </c>
      <c r="M92" s="15">
        <f>SUM(F92,I92,K92-Tabela1[[#This Row],[Coupon Value]])</f>
        <v>35</v>
      </c>
    </row>
    <row r="93" spans="1:13" ht="16.5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26</v>
      </c>
      <c r="D95" s="10">
        <v>45441</v>
      </c>
      <c r="E95" s="8" t="s">
        <v>23</v>
      </c>
      <c r="F95" s="11">
        <f>IF(C95="Ultimate",15,IF(C95="Standard",10,IF(C95="Core",5,"")))</f>
        <v>10</v>
      </c>
      <c r="G95" s="8" t="s">
        <v>27</v>
      </c>
      <c r="H95" s="8" t="s">
        <v>19</v>
      </c>
      <c r="I95" s="11">
        <f>IF(Tabela1[[#This Row],[EA Play Season Pass]]="Yes",30,0)</f>
        <v>30</v>
      </c>
      <c r="J95" s="8" t="s">
        <v>19</v>
      </c>
      <c r="K95" s="11">
        <f>IF(Tabela1[[#This Row],[Minecraft Season Pass]]="Yes",20,0)</f>
        <v>20</v>
      </c>
      <c r="L95" s="11">
        <v>20</v>
      </c>
      <c r="M95" s="15">
        <f>SUM(F95,I95,K95-Tabela1[[#This Row],[Coupon Value]])</f>
        <v>40</v>
      </c>
    </row>
    <row r="96" spans="1:13" ht="16.5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26</v>
      </c>
      <c r="D98" s="10">
        <v>45444</v>
      </c>
      <c r="E98" s="8" t="s">
        <v>19</v>
      </c>
      <c r="F98" s="11">
        <f>IF(C98="Ultimate",15,IF(C98="Standard",10,IF(C98="Core",5,"")))</f>
        <v>10</v>
      </c>
      <c r="G98" s="8" t="s">
        <v>20</v>
      </c>
      <c r="H98" s="8" t="s">
        <v>19</v>
      </c>
      <c r="I98" s="11">
        <f>IF(Tabela1[[#This Row],[EA Play Season Pass]]="Yes",30,0)</f>
        <v>30</v>
      </c>
      <c r="J98" s="8" t="s">
        <v>19</v>
      </c>
      <c r="K98" s="11">
        <f>IF(Tabela1[[#This Row],[Minecraft Season Pass]]="Yes",20,0)</f>
        <v>20</v>
      </c>
      <c r="L98" s="11">
        <v>7</v>
      </c>
      <c r="M98" s="15">
        <f>SUM(F98,I98,K98-Tabela1[[#This Row],[Coupon Value]])</f>
        <v>53</v>
      </c>
    </row>
    <row r="99" spans="1:13" ht="16.5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f>IF(C101="Ultimate",15,IF(C101="Standard",10,IF(C101="Core",5,"")))</f>
        <v>15</v>
      </c>
      <c r="G101" s="8" t="s">
        <v>20</v>
      </c>
      <c r="H101" s="8" t="s">
        <v>19</v>
      </c>
      <c r="I101" s="11">
        <f>IF(Tabela1[[#This Row],[EA Play Season Pass]]="Yes",30,0)</f>
        <v>30</v>
      </c>
      <c r="J101" s="8" t="s">
        <v>19</v>
      </c>
      <c r="K101" s="11">
        <f>IF(Tabela1[[#This Row],[Minecraft Season Pass]]="Yes",20,0)</f>
        <v>20</v>
      </c>
      <c r="L101" s="11">
        <v>15</v>
      </c>
      <c r="M101" s="15">
        <f>SUM(F101,I101,K101-Tabela1[[#This Row],[Coupon Value]])</f>
        <v>50</v>
      </c>
    </row>
    <row r="102" spans="1:13" ht="16.5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f>IF(C104="Ultimate",15,IF(C104="Standard",10,IF(C104="Core",5,"")))</f>
        <v>15</v>
      </c>
      <c r="G104" s="8" t="s">
        <v>27</v>
      </c>
      <c r="H104" s="8" t="s">
        <v>19</v>
      </c>
      <c r="I104" s="11">
        <f>IF(Tabela1[[#This Row],[EA Play Season Pass]]="Yes",30,0)</f>
        <v>30</v>
      </c>
      <c r="J104" s="8" t="s">
        <v>19</v>
      </c>
      <c r="K104" s="11">
        <f>IF(Tabela1[[#This Row],[Minecraft Season Pass]]="Yes",20,0)</f>
        <v>20</v>
      </c>
      <c r="L104" s="11">
        <v>20</v>
      </c>
      <c r="M104" s="15">
        <f>SUM(F104,I104,K104-Tabela1[[#This Row],[Coupon Value]])</f>
        <v>45</v>
      </c>
    </row>
    <row r="105" spans="1:13" ht="16.5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22</v>
      </c>
      <c r="D108" s="10">
        <v>45454</v>
      </c>
      <c r="E108" s="8" t="s">
        <v>23</v>
      </c>
      <c r="F108" s="11">
        <f>IF(C108="Ultimate",15,IF(C108="Standard",10,IF(C108="Core",5,"")))</f>
        <v>5</v>
      </c>
      <c r="G108" s="8" t="s">
        <v>27</v>
      </c>
      <c r="H108" s="8" t="s">
        <v>19</v>
      </c>
      <c r="I108" s="11">
        <f>IF(Tabela1[[#This Row],[EA Play Season Pass]]="Yes",30,0)</f>
        <v>30</v>
      </c>
      <c r="J108" s="8" t="s">
        <v>19</v>
      </c>
      <c r="K108" s="11">
        <f>IF(Tabela1[[#This Row],[Minecraft Season Pass]]="Yes",20,0)</f>
        <v>20</v>
      </c>
      <c r="L108" s="11">
        <v>7</v>
      </c>
      <c r="M108" s="15">
        <f>SUM(F108,I108,K108-Tabela1[[#This Row],[Coupon Value]])</f>
        <v>48</v>
      </c>
    </row>
    <row r="109" spans="1:13" ht="16.5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f>IF(C111="Ultimate",15,IF(C111="Standard",10,IF(C111="Core",5,"")))</f>
        <v>15</v>
      </c>
      <c r="G111" s="8" t="s">
        <v>20</v>
      </c>
      <c r="H111" s="8" t="s">
        <v>19</v>
      </c>
      <c r="I111" s="11">
        <f>IF(Tabela1[[#This Row],[EA Play Season Pass]]="Yes",30,0)</f>
        <v>30</v>
      </c>
      <c r="J111" s="8" t="s">
        <v>19</v>
      </c>
      <c r="K111" s="11">
        <f>IF(Tabela1[[#This Row],[Minecraft Season Pass]]="Yes",20,0)</f>
        <v>20</v>
      </c>
      <c r="L111" s="11">
        <v>15</v>
      </c>
      <c r="M111" s="15">
        <f>SUM(F111,I111,K111-Tabela1[[#This Row],[Coupon Value]])</f>
        <v>50</v>
      </c>
    </row>
    <row r="112" spans="1:13" ht="16.5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26</v>
      </c>
      <c r="D114" s="10">
        <v>45460</v>
      </c>
      <c r="E114" s="8" t="s">
        <v>23</v>
      </c>
      <c r="F114" s="11">
        <f>IF(C114="Ultimate",15,IF(C114="Standard",10,IF(C114="Core",5,"")))</f>
        <v>10</v>
      </c>
      <c r="G114" s="8" t="s">
        <v>27</v>
      </c>
      <c r="H114" s="8" t="s">
        <v>19</v>
      </c>
      <c r="I114" s="11">
        <f>IF(Tabela1[[#This Row],[EA Play Season Pass]]="Yes",30,0)</f>
        <v>30</v>
      </c>
      <c r="J114" s="8" t="s">
        <v>19</v>
      </c>
      <c r="K114" s="11">
        <f>IF(Tabela1[[#This Row],[Minecraft Season Pass]]="Yes",20,0)</f>
        <v>20</v>
      </c>
      <c r="L114" s="11">
        <v>20</v>
      </c>
      <c r="M114" s="15">
        <f>SUM(F114,I114,K114-Tabela1[[#This Row],[Coupon Value]])</f>
        <v>40</v>
      </c>
    </row>
    <row r="115" spans="1:13" ht="16.5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26</v>
      </c>
      <c r="D117" s="10">
        <v>45463</v>
      </c>
      <c r="E117" s="8" t="s">
        <v>19</v>
      </c>
      <c r="F117" s="11">
        <f>IF(C117="Ultimate",15,IF(C117="Standard",10,IF(C117="Core",5,"")))</f>
        <v>10</v>
      </c>
      <c r="G117" s="8" t="s">
        <v>24</v>
      </c>
      <c r="H117" s="8" t="s">
        <v>19</v>
      </c>
      <c r="I117" s="11">
        <f>IF(Tabela1[[#This Row],[EA Play Season Pass]]="Yes",30,0)</f>
        <v>30</v>
      </c>
      <c r="J117" s="8" t="s">
        <v>19</v>
      </c>
      <c r="K117" s="11">
        <f>IF(Tabela1[[#This Row],[Minecraft Season Pass]]="Yes",20,0)</f>
        <v>20</v>
      </c>
      <c r="L117" s="11">
        <v>5</v>
      </c>
      <c r="M117" s="15">
        <f>SUM(F117,I117,K117-Tabela1[[#This Row],[Coupon Value]])</f>
        <v>55</v>
      </c>
    </row>
    <row r="118" spans="1:13" ht="16.5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26</v>
      </c>
      <c r="D120" s="10">
        <v>45466</v>
      </c>
      <c r="E120" s="8" t="s">
        <v>23</v>
      </c>
      <c r="F120" s="11">
        <f>IF(C120="Ultimate",15,IF(C120="Standard",10,IF(C120="Core",5,"")))</f>
        <v>10</v>
      </c>
      <c r="G120" s="8" t="s">
        <v>20</v>
      </c>
      <c r="H120" s="8" t="s">
        <v>19</v>
      </c>
      <c r="I120" s="11">
        <f>IF(Tabela1[[#This Row],[EA Play Season Pass]]="Yes",30,0)</f>
        <v>30</v>
      </c>
      <c r="J120" s="8" t="s">
        <v>19</v>
      </c>
      <c r="K120" s="11">
        <f>IF(Tabela1[[#This Row],[Minecraft Season Pass]]="Yes",20,0)</f>
        <v>20</v>
      </c>
      <c r="L120" s="11">
        <v>3</v>
      </c>
      <c r="M120" s="15">
        <f>SUM(F120,I120,K120-Tabela1[[#This Row],[Coupon Value]])</f>
        <v>57</v>
      </c>
    </row>
    <row r="121" spans="1:13" ht="16.5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26</v>
      </c>
      <c r="D123" s="10">
        <v>45469</v>
      </c>
      <c r="E123" s="8" t="s">
        <v>19</v>
      </c>
      <c r="F123" s="11">
        <f>IF(C123="Ultimate",15,IF(C123="Standard",10,IF(C123="Core",5,"")))</f>
        <v>10</v>
      </c>
      <c r="G123" s="8" t="s">
        <v>27</v>
      </c>
      <c r="H123" s="8" t="s">
        <v>19</v>
      </c>
      <c r="I123" s="11">
        <f>IF(Tabela1[[#This Row],[EA Play Season Pass]]="Yes",30,0)</f>
        <v>30</v>
      </c>
      <c r="J123" s="8" t="s">
        <v>19</v>
      </c>
      <c r="K123" s="11">
        <f>IF(Tabela1[[#This Row],[Minecraft Season Pass]]="Yes",20,0)</f>
        <v>20</v>
      </c>
      <c r="L123" s="11">
        <v>7</v>
      </c>
      <c r="M123" s="15">
        <f>SUM(F123,I123,K123-Tabela1[[#This Row],[Coupon Value]])</f>
        <v>53</v>
      </c>
    </row>
    <row r="124" spans="1:13" ht="16.5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26</v>
      </c>
      <c r="D126" s="10">
        <v>45472</v>
      </c>
      <c r="E126" s="8" t="s">
        <v>23</v>
      </c>
      <c r="F126" s="11">
        <f>IF(C126="Ultimate",15,IF(C126="Standard",10,IF(C126="Core",5,"")))</f>
        <v>10</v>
      </c>
      <c r="G126" s="8" t="s">
        <v>20</v>
      </c>
      <c r="H126" s="8" t="s">
        <v>19</v>
      </c>
      <c r="I126" s="11">
        <f>IF(Tabela1[[#This Row],[EA Play Season Pass]]="Yes",30,0)</f>
        <v>30</v>
      </c>
      <c r="J126" s="8" t="s">
        <v>19</v>
      </c>
      <c r="K126" s="11">
        <f>IF(Tabela1[[#This Row],[Minecraft Season Pass]]="Yes",20,0)</f>
        <v>20</v>
      </c>
      <c r="L126" s="11">
        <v>20</v>
      </c>
      <c r="M126" s="15">
        <f>SUM(F126,I126,K126-Tabela1[[#This Row],[Coupon Value]])</f>
        <v>40</v>
      </c>
    </row>
    <row r="127" spans="1:13" ht="16.5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22</v>
      </c>
      <c r="D129" s="10">
        <v>45475</v>
      </c>
      <c r="E129" s="8" t="s">
        <v>19</v>
      </c>
      <c r="F129" s="11">
        <f>IF(C129="Ultimate",15,IF(C129="Standard",10,IF(C129="Core",5,"")))</f>
        <v>5</v>
      </c>
      <c r="G129" s="8" t="s">
        <v>24</v>
      </c>
      <c r="H129" s="8" t="s">
        <v>19</v>
      </c>
      <c r="I129" s="11">
        <f>IF(Tabela1[[#This Row],[EA Play Season Pass]]="Yes",30,0)</f>
        <v>30</v>
      </c>
      <c r="J129" s="8" t="s">
        <v>19</v>
      </c>
      <c r="K129" s="11">
        <f>IF(Tabela1[[#This Row],[Minecraft Season Pass]]="Yes",20,0)</f>
        <v>20</v>
      </c>
      <c r="L129" s="11">
        <v>3</v>
      </c>
      <c r="M129" s="15">
        <f>SUM(F129,I129,K129-Tabela1[[#This Row],[Coupon Value]])</f>
        <v>52</v>
      </c>
    </row>
    <row r="130" spans="1:13" ht="16.5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f>IF(C132="Ultimate",15,IF(C132="Standard",10,IF(C132="Core",5,"")))</f>
        <v>15</v>
      </c>
      <c r="G132" s="8" t="s">
        <v>20</v>
      </c>
      <c r="H132" s="8" t="s">
        <v>19</v>
      </c>
      <c r="I132" s="11">
        <f>IF(Tabela1[[#This Row],[EA Play Season Pass]]="Yes",30,0)</f>
        <v>30</v>
      </c>
      <c r="J132" s="8" t="s">
        <v>19</v>
      </c>
      <c r="K132" s="11">
        <f>IF(Tabela1[[#This Row],[Minecraft Season Pass]]="Yes",20,0)</f>
        <v>20</v>
      </c>
      <c r="L132" s="11">
        <v>15</v>
      </c>
      <c r="M132" s="15">
        <f>SUM(F132,I132,K132-Tabela1[[#This Row],[Coupon Value]])</f>
        <v>50</v>
      </c>
    </row>
    <row r="133" spans="1:13" ht="16.5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f>IF(C135="Ultimate",15,IF(C135="Standard",10,IF(C135="Core",5,"")))</f>
        <v>15</v>
      </c>
      <c r="G135" s="8" t="s">
        <v>27</v>
      </c>
      <c r="H135" s="8" t="s">
        <v>19</v>
      </c>
      <c r="I135" s="11">
        <f>IF(Tabela1[[#This Row],[EA Play Season Pass]]="Yes",30,0)</f>
        <v>30</v>
      </c>
      <c r="J135" s="8" t="s">
        <v>19</v>
      </c>
      <c r="K135" s="11">
        <f>IF(Tabela1[[#This Row],[Minecraft Season Pass]]="Yes",20,0)</f>
        <v>20</v>
      </c>
      <c r="L135" s="11">
        <v>7</v>
      </c>
      <c r="M135" s="15">
        <f>SUM(F135,I135,K135-Tabela1[[#This Row],[Coupon Value]])</f>
        <v>58</v>
      </c>
    </row>
    <row r="136" spans="1:13" ht="16.5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f>IF(C138="Ultimate",15,IF(C138="Standard",10,IF(C138="Core",5,"")))</f>
        <v>15</v>
      </c>
      <c r="G138" s="8" t="s">
        <v>27</v>
      </c>
      <c r="H138" s="8" t="s">
        <v>23</v>
      </c>
      <c r="I138" s="11">
        <f>IF(Tabela1[[#This Row],[EA Play Season Pass]]="Yes",30,0)</f>
        <v>0</v>
      </c>
      <c r="J138" s="8" t="s">
        <v>19</v>
      </c>
      <c r="K138" s="11">
        <f>IF(Tabela1[[#This Row],[Minecraft Season Pass]]="Yes",20,0)</f>
        <v>20</v>
      </c>
      <c r="L138" s="11">
        <v>7</v>
      </c>
      <c r="M138" s="15">
        <f>SUM(F138,I138,K138-Tabela1[[#This Row],[Coupon Value]])</f>
        <v>28</v>
      </c>
    </row>
    <row r="139" spans="1:13" ht="16.5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f>IF(C141="Ultimate",15,IF(C141="Standard",10,IF(C141="Core",5,"")))</f>
        <v>15</v>
      </c>
      <c r="G141" s="8" t="s">
        <v>20</v>
      </c>
      <c r="H141" s="8" t="s">
        <v>23</v>
      </c>
      <c r="I141" s="11">
        <f>IF(Tabela1[[#This Row],[EA Play Season Pass]]="Yes",30,0)</f>
        <v>0</v>
      </c>
      <c r="J141" s="8" t="s">
        <v>19</v>
      </c>
      <c r="K141" s="11">
        <f>IF(Tabela1[[#This Row],[Minecraft Season Pass]]="Yes",20,0)</f>
        <v>20</v>
      </c>
      <c r="L141" s="11">
        <v>15</v>
      </c>
      <c r="M141" s="15">
        <f>SUM(F141,I141,K141-Tabela1[[#This Row],[Coupon Value]])</f>
        <v>20</v>
      </c>
    </row>
    <row r="142" spans="1:13" ht="16.5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26</v>
      </c>
      <c r="D144" s="10">
        <v>45490</v>
      </c>
      <c r="E144" s="8" t="s">
        <v>23</v>
      </c>
      <c r="F144" s="11">
        <f>IF(C144="Ultimate",15,IF(C144="Standard",10,IF(C144="Core",5,"")))</f>
        <v>10</v>
      </c>
      <c r="G144" s="8" t="s">
        <v>27</v>
      </c>
      <c r="H144" s="8" t="s">
        <v>23</v>
      </c>
      <c r="I144" s="11">
        <f>IF(Tabela1[[#This Row],[EA Play Season Pass]]="Yes",30,0)</f>
        <v>0</v>
      </c>
      <c r="J144" s="8" t="s">
        <v>19</v>
      </c>
      <c r="K144" s="11">
        <f>IF(Tabela1[[#This Row],[Minecraft Season Pass]]="Yes",20,0)</f>
        <v>20</v>
      </c>
      <c r="L144" s="11">
        <v>20</v>
      </c>
      <c r="M144" s="15">
        <f>SUM(F144,I144,K144-Tabela1[[#This Row],[Coupon Value]])</f>
        <v>10</v>
      </c>
    </row>
    <row r="145" spans="1:13" ht="16.5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26</v>
      </c>
      <c r="D147" s="10">
        <v>45493</v>
      </c>
      <c r="E147" s="8" t="s">
        <v>19</v>
      </c>
      <c r="F147" s="11">
        <f>IF(C147="Ultimate",15,IF(C147="Standard",10,IF(C147="Core",5,"")))</f>
        <v>10</v>
      </c>
      <c r="G147" s="8" t="s">
        <v>24</v>
      </c>
      <c r="H147" s="8" t="s">
        <v>23</v>
      </c>
      <c r="I147" s="11">
        <f>IF(Tabela1[[#This Row],[EA Play Season Pass]]="Yes",30,0)</f>
        <v>0</v>
      </c>
      <c r="J147" s="8" t="s">
        <v>19</v>
      </c>
      <c r="K147" s="11">
        <f>IF(Tabela1[[#This Row],[Minecraft Season Pass]]="Yes",20,0)</f>
        <v>20</v>
      </c>
      <c r="L147" s="11">
        <v>5</v>
      </c>
      <c r="M147" s="15">
        <f>SUM(F147,I147,K147-Tabela1[[#This Row],[Coupon Value]])</f>
        <v>25</v>
      </c>
    </row>
    <row r="148" spans="1:13" ht="16.5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26</v>
      </c>
      <c r="D150" s="10">
        <v>45496</v>
      </c>
      <c r="E150" s="8" t="s">
        <v>23</v>
      </c>
      <c r="F150" s="11">
        <f>IF(C150="Ultimate",15,IF(C150="Standard",10,IF(C150="Core",5,"")))</f>
        <v>10</v>
      </c>
      <c r="G150" s="8" t="s">
        <v>20</v>
      </c>
      <c r="H150" s="8" t="s">
        <v>19</v>
      </c>
      <c r="I150" s="11">
        <f>IF(Tabela1[[#This Row],[EA Play Season Pass]]="Yes",30,0)</f>
        <v>30</v>
      </c>
      <c r="J150" s="8" t="s">
        <v>19</v>
      </c>
      <c r="K150" s="11">
        <f>IF(Tabela1[[#This Row],[Minecraft Season Pass]]="Yes",20,0)</f>
        <v>20</v>
      </c>
      <c r="L150" s="11">
        <v>3</v>
      </c>
      <c r="M150" s="15">
        <f>SUM(F150,I150,K150-Tabela1[[#This Row],[Coupon Value]])</f>
        <v>57</v>
      </c>
    </row>
    <row r="151" spans="1:13" ht="16.5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26</v>
      </c>
      <c r="D153" s="10">
        <v>45499</v>
      </c>
      <c r="E153" s="8" t="s">
        <v>19</v>
      </c>
      <c r="F153" s="11">
        <f>IF(C153="Ultimate",15,IF(C153="Standard",10,IF(C153="Core",5,"")))</f>
        <v>10</v>
      </c>
      <c r="G153" s="8" t="s">
        <v>27</v>
      </c>
      <c r="H153" s="8" t="s">
        <v>19</v>
      </c>
      <c r="I153" s="11">
        <f>IF(Tabela1[[#This Row],[EA Play Season Pass]]="Yes",30,0)</f>
        <v>30</v>
      </c>
      <c r="J153" s="8" t="s">
        <v>19</v>
      </c>
      <c r="K153" s="11">
        <f>IF(Tabela1[[#This Row],[Minecraft Season Pass]]="Yes",20,0)</f>
        <v>20</v>
      </c>
      <c r="L153" s="11">
        <v>7</v>
      </c>
      <c r="M153" s="15">
        <f>SUM(F153,I153,K153-Tabela1[[#This Row],[Coupon Value]])</f>
        <v>53</v>
      </c>
    </row>
    <row r="154" spans="1:13" ht="16.5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26</v>
      </c>
      <c r="D156" s="10">
        <v>45502</v>
      </c>
      <c r="E156" s="8" t="s">
        <v>23</v>
      </c>
      <c r="F156" s="11">
        <f>IF(C156="Ultimate",15,IF(C156="Standard",10,IF(C156="Core",5,"")))</f>
        <v>10</v>
      </c>
      <c r="G156" s="8" t="s">
        <v>20</v>
      </c>
      <c r="H156" s="8" t="s">
        <v>19</v>
      </c>
      <c r="I156" s="11">
        <f>IF(Tabela1[[#This Row],[EA Play Season Pass]]="Yes",30,0)</f>
        <v>30</v>
      </c>
      <c r="J156" s="8" t="s">
        <v>19</v>
      </c>
      <c r="K156" s="11">
        <f>IF(Tabela1[[#This Row],[Minecraft Season Pass]]="Yes",20,0)</f>
        <v>20</v>
      </c>
      <c r="L156" s="11">
        <v>20</v>
      </c>
      <c r="M156" s="15">
        <f>SUM(F156,I156,K156-Tabela1[[#This Row],[Coupon Value]])</f>
        <v>40</v>
      </c>
    </row>
    <row r="157" spans="1:13" ht="16.5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22</v>
      </c>
      <c r="D159" s="10">
        <v>45505</v>
      </c>
      <c r="E159" s="8" t="s">
        <v>19</v>
      </c>
      <c r="F159" s="11">
        <f>IF(C159="Ultimate",15,IF(C159="Standard",10,IF(C159="Core",5,"")))</f>
        <v>5</v>
      </c>
      <c r="G159" s="8" t="s">
        <v>24</v>
      </c>
      <c r="H159" s="8" t="s">
        <v>19</v>
      </c>
      <c r="I159" s="11">
        <f>IF(Tabela1[[#This Row],[EA Play Season Pass]]="Yes",30,0)</f>
        <v>30</v>
      </c>
      <c r="J159" s="8" t="s">
        <v>19</v>
      </c>
      <c r="K159" s="11">
        <f>IF(Tabela1[[#This Row],[Minecraft Season Pass]]="Yes",20,0)</f>
        <v>20</v>
      </c>
      <c r="L159" s="11">
        <v>3</v>
      </c>
      <c r="M159" s="15">
        <f>SUM(F159,I159,K159-Tabela1[[#This Row],[Coupon Value]])</f>
        <v>52</v>
      </c>
    </row>
    <row r="160" spans="1:13" ht="16.5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22</v>
      </c>
      <c r="D162" s="10">
        <v>45508</v>
      </c>
      <c r="E162" s="8" t="s">
        <v>23</v>
      </c>
      <c r="F162" s="11">
        <f>IF(C162="Ultimate",15,IF(C162="Standard",10,IF(C162="Core",5,"")))</f>
        <v>5</v>
      </c>
      <c r="G162" s="8" t="s">
        <v>20</v>
      </c>
      <c r="H162" s="8" t="s">
        <v>19</v>
      </c>
      <c r="I162" s="11">
        <f>IF(Tabela1[[#This Row],[EA Play Season Pass]]="Yes",30,0)</f>
        <v>30</v>
      </c>
      <c r="J162" s="8" t="s">
        <v>19</v>
      </c>
      <c r="K162" s="11">
        <f>IF(Tabela1[[#This Row],[Minecraft Season Pass]]="Yes",20,0)</f>
        <v>20</v>
      </c>
      <c r="L162" s="11">
        <v>15</v>
      </c>
      <c r="M162" s="15">
        <f>SUM(F162,I162,K162-Tabela1[[#This Row],[Coupon Value]])</f>
        <v>40</v>
      </c>
    </row>
    <row r="163" spans="1:13" ht="16.5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f>IF(C165="Ultimate",15,IF(C165="Standard",10,IF(C165="Core",5,"")))</f>
        <v>15</v>
      </c>
      <c r="G165" s="8" t="s">
        <v>27</v>
      </c>
      <c r="H165" s="8" t="s">
        <v>19</v>
      </c>
      <c r="I165" s="11">
        <f>IF(Tabela1[[#This Row],[EA Play Season Pass]]="Yes",30,0)</f>
        <v>30</v>
      </c>
      <c r="J165" s="8" t="s">
        <v>19</v>
      </c>
      <c r="K165" s="11">
        <f>IF(Tabela1[[#This Row],[Minecraft Season Pass]]="Yes",20,0)</f>
        <v>20</v>
      </c>
      <c r="L165" s="11">
        <v>7</v>
      </c>
      <c r="M165" s="15">
        <f>SUM(F165,I165,K165-Tabela1[[#This Row],[Coupon Value]])</f>
        <v>58</v>
      </c>
    </row>
    <row r="166" spans="1:13" ht="16.5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f>IF(C168="Ultimate",15,IF(C168="Standard",10,IF(C168="Core",5,"")))</f>
        <v>15</v>
      </c>
      <c r="G168" s="8" t="s">
        <v>20</v>
      </c>
      <c r="H168" s="8" t="s">
        <v>19</v>
      </c>
      <c r="I168" s="11">
        <f>IF(Tabela1[[#This Row],[EA Play Season Pass]]="Yes",30,0)</f>
        <v>30</v>
      </c>
      <c r="J168" s="8" t="s">
        <v>19</v>
      </c>
      <c r="K168" s="11">
        <f>IF(Tabela1[[#This Row],[Minecraft Season Pass]]="Yes",20,0)</f>
        <v>20</v>
      </c>
      <c r="L168" s="11">
        <v>20</v>
      </c>
      <c r="M168" s="15">
        <f>SUM(F168,I168,K168-Tabela1[[#This Row],[Coupon Value]])</f>
        <v>45</v>
      </c>
    </row>
    <row r="169" spans="1:13" ht="16.5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f>IF(C171="Ultimate",15,IF(C171="Standard",10,IF(C171="Core",5,"")))</f>
        <v>15</v>
      </c>
      <c r="G171" s="8" t="s">
        <v>24</v>
      </c>
      <c r="H171" s="8" t="s">
        <v>19</v>
      </c>
      <c r="I171" s="11">
        <f>IF(Tabela1[[#This Row],[EA Play Season Pass]]="Yes",30,0)</f>
        <v>30</v>
      </c>
      <c r="J171" s="8" t="s">
        <v>19</v>
      </c>
      <c r="K171" s="11">
        <f>IF(Tabela1[[#This Row],[Minecraft Season Pass]]="Yes",20,0)</f>
        <v>20</v>
      </c>
      <c r="L171" s="11">
        <v>5</v>
      </c>
      <c r="M171" s="15">
        <f>SUM(F171,I171,K171-Tabela1[[#This Row],[Coupon Value]])</f>
        <v>60</v>
      </c>
    </row>
    <row r="172" spans="1:13" ht="16.5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22</v>
      </c>
      <c r="D174" s="10">
        <v>45520</v>
      </c>
      <c r="E174" s="8" t="s">
        <v>23</v>
      </c>
      <c r="F174" s="11">
        <f>IF(C174="Ultimate",15,IF(C174="Standard",10,IF(C174="Core",5,"")))</f>
        <v>5</v>
      </c>
      <c r="G174" s="8" t="s">
        <v>20</v>
      </c>
      <c r="H174" s="8" t="s">
        <v>19</v>
      </c>
      <c r="I174" s="11">
        <f>IF(Tabela1[[#This Row],[EA Play Season Pass]]="Yes",30,0)</f>
        <v>30</v>
      </c>
      <c r="J174" s="8" t="s">
        <v>19</v>
      </c>
      <c r="K174" s="11">
        <f>IF(Tabela1[[#This Row],[Minecraft Season Pass]]="Yes",20,0)</f>
        <v>20</v>
      </c>
      <c r="L174" s="11">
        <v>3</v>
      </c>
      <c r="M174" s="15">
        <f>SUM(F174,I174,K174-Tabela1[[#This Row],[Coupon Value]])</f>
        <v>52</v>
      </c>
    </row>
    <row r="175" spans="1:13" ht="16.5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f>IF(C178="Ultimate",15,IF(C178="Standard",10,IF(C178="Core",5,"")))</f>
        <v>15</v>
      </c>
      <c r="G178" s="8" t="s">
        <v>27</v>
      </c>
      <c r="H178" s="8" t="s">
        <v>19</v>
      </c>
      <c r="I178" s="11">
        <f>IF(Tabela1[[#This Row],[EA Play Season Pass]]="Yes",30,0)</f>
        <v>30</v>
      </c>
      <c r="J178" s="8" t="s">
        <v>19</v>
      </c>
      <c r="K178" s="11">
        <f>IF(Tabela1[[#This Row],[Minecraft Season Pass]]="Yes",20,0)</f>
        <v>20</v>
      </c>
      <c r="L178" s="11">
        <v>7</v>
      </c>
      <c r="M178" s="15">
        <f>SUM(F178,I178,K178-Tabela1[[#This Row],[Coupon Value]])</f>
        <v>58</v>
      </c>
    </row>
    <row r="179" spans="1:13" ht="16.5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f>IF(C181="Ultimate",15,IF(C181="Standard",10,IF(C181="Core",5,"")))</f>
        <v>15</v>
      </c>
      <c r="G181" s="8" t="s">
        <v>20</v>
      </c>
      <c r="H181" s="8" t="s">
        <v>23</v>
      </c>
      <c r="I181" s="11">
        <f>IF(Tabela1[[#This Row],[EA Play Season Pass]]="Yes",30,0)</f>
        <v>0</v>
      </c>
      <c r="J181" s="8" t="s">
        <v>19</v>
      </c>
      <c r="K181" s="11">
        <f>IF(Tabela1[[#This Row],[Minecraft Season Pass]]="Yes",20,0)</f>
        <v>20</v>
      </c>
      <c r="L181" s="11">
        <v>15</v>
      </c>
      <c r="M181" s="15">
        <f>SUM(F181,I181,K181-Tabela1[[#This Row],[Coupon Value]])</f>
        <v>20</v>
      </c>
    </row>
    <row r="182" spans="1:13" ht="16.5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f>IF(C184="Ultimate",15,IF(C184="Standard",10,IF(C184="Core",5,"")))</f>
        <v>15</v>
      </c>
      <c r="G184" s="8" t="s">
        <v>27</v>
      </c>
      <c r="H184" s="8" t="s">
        <v>23</v>
      </c>
      <c r="I184" s="11">
        <f>IF(Tabela1[[#This Row],[EA Play Season Pass]]="Yes",30,0)</f>
        <v>0</v>
      </c>
      <c r="J184" s="8" t="s">
        <v>19</v>
      </c>
      <c r="K184" s="11">
        <f>IF(Tabela1[[#This Row],[Minecraft Season Pass]]="Yes",20,0)</f>
        <v>20</v>
      </c>
      <c r="L184" s="11">
        <v>20</v>
      </c>
      <c r="M184" s="15">
        <f>SUM(F184,I184,K184-Tabela1[[#This Row],[Coupon Value]])</f>
        <v>15</v>
      </c>
    </row>
    <row r="185" spans="1:13" ht="16.5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26</v>
      </c>
      <c r="D187" s="10">
        <v>45533</v>
      </c>
      <c r="E187" s="8" t="s">
        <v>19</v>
      </c>
      <c r="F187" s="11">
        <f>IF(C187="Ultimate",15,IF(C187="Standard",10,IF(C187="Core",5,"")))</f>
        <v>10</v>
      </c>
      <c r="G187" s="8" t="s">
        <v>24</v>
      </c>
      <c r="H187" s="8" t="s">
        <v>23</v>
      </c>
      <c r="I187" s="11">
        <f>IF(Tabela1[[#This Row],[EA Play Season Pass]]="Yes",30,0)</f>
        <v>0</v>
      </c>
      <c r="J187" s="8" t="s">
        <v>19</v>
      </c>
      <c r="K187" s="11">
        <f>IF(Tabela1[[#This Row],[Minecraft Season Pass]]="Yes",20,0)</f>
        <v>20</v>
      </c>
      <c r="L187" s="11">
        <v>5</v>
      </c>
      <c r="M187" s="15">
        <f>SUM(F187,I187,K187-Tabela1[[#This Row],[Coupon Value]])</f>
        <v>25</v>
      </c>
    </row>
    <row r="188" spans="1:13" ht="16.5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26</v>
      </c>
      <c r="D190" s="10">
        <v>45536</v>
      </c>
      <c r="E190" s="8" t="s">
        <v>23</v>
      </c>
      <c r="F190" s="11">
        <f>IF(C190="Ultimate",15,IF(C190="Standard",10,IF(C190="Core",5,"")))</f>
        <v>10</v>
      </c>
      <c r="G190" s="8" t="s">
        <v>20</v>
      </c>
      <c r="H190" s="8" t="s">
        <v>23</v>
      </c>
      <c r="I190" s="11">
        <f>IF(Tabela1[[#This Row],[EA Play Season Pass]]="Yes",30,0)</f>
        <v>0</v>
      </c>
      <c r="J190" s="8" t="s">
        <v>19</v>
      </c>
      <c r="K190" s="11">
        <f>IF(Tabela1[[#This Row],[Minecraft Season Pass]]="Yes",20,0)</f>
        <v>20</v>
      </c>
      <c r="L190" s="11">
        <v>3</v>
      </c>
      <c r="M190" s="15">
        <f>SUM(F190,I190,K190-Tabela1[[#This Row],[Coupon Value]])</f>
        <v>27</v>
      </c>
    </row>
    <row r="191" spans="1:13" ht="16.5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26</v>
      </c>
      <c r="D193" s="10">
        <v>45539</v>
      </c>
      <c r="E193" s="8" t="s">
        <v>19</v>
      </c>
      <c r="F193" s="11">
        <f>IF(C193="Ultimate",15,IF(C193="Standard",10,IF(C193="Core",5,"")))</f>
        <v>10</v>
      </c>
      <c r="G193" s="8" t="s">
        <v>27</v>
      </c>
      <c r="H193" s="8" t="s">
        <v>23</v>
      </c>
      <c r="I193" s="11">
        <f>IF(Tabela1[[#This Row],[EA Play Season Pass]]="Yes",30,0)</f>
        <v>0</v>
      </c>
      <c r="J193" s="8" t="s">
        <v>19</v>
      </c>
      <c r="K193" s="11">
        <f>IF(Tabela1[[#This Row],[Minecraft Season Pass]]="Yes",20,0)</f>
        <v>20</v>
      </c>
      <c r="L193" s="11">
        <v>7</v>
      </c>
      <c r="M193" s="15">
        <f>SUM(F193,I193,K193-Tabela1[[#This Row],[Coupon Value]])</f>
        <v>23</v>
      </c>
    </row>
    <row r="194" spans="1:13" ht="16.5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22</v>
      </c>
      <c r="D196" s="10">
        <v>45542</v>
      </c>
      <c r="E196" s="8" t="s">
        <v>23</v>
      </c>
      <c r="F196" s="11">
        <f>IF(C196="Ultimate",15,IF(C196="Standard",10,IF(C196="Core",5,"")))</f>
        <v>5</v>
      </c>
      <c r="G196" s="8" t="s">
        <v>20</v>
      </c>
      <c r="H196" s="8" t="s">
        <v>23</v>
      </c>
      <c r="I196" s="11">
        <f>IF(Tabela1[[#This Row],[EA Play Season Pass]]="Yes",30,0)</f>
        <v>0</v>
      </c>
      <c r="J196" s="8" t="s">
        <v>19</v>
      </c>
      <c r="K196" s="11">
        <f>IF(Tabela1[[#This Row],[Minecraft Season Pass]]="Yes",20,0)</f>
        <v>20</v>
      </c>
      <c r="L196" s="11">
        <v>20</v>
      </c>
      <c r="M196" s="15">
        <f>SUM(F196,I196,K196-Tabela1[[#This Row],[Coupon Value]])</f>
        <v>5</v>
      </c>
    </row>
    <row r="197" spans="1:13" ht="16.5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f>IF(C199="Ultimate",15,IF(C199="Standard",10,IF(C199="Core",5,"")))</f>
        <v>15</v>
      </c>
      <c r="G199" s="8" t="s">
        <v>24</v>
      </c>
      <c r="H199" s="8" t="s">
        <v>23</v>
      </c>
      <c r="I199" s="11">
        <f>IF(Tabela1[[#This Row],[EA Play Season Pass]]="Yes",30,0)</f>
        <v>0</v>
      </c>
      <c r="J199" s="8" t="s">
        <v>19</v>
      </c>
      <c r="K199" s="11">
        <f>IF(Tabela1[[#This Row],[Minecraft Season Pass]]="Yes",20,0)</f>
        <v>20</v>
      </c>
      <c r="L199" s="11">
        <v>3</v>
      </c>
      <c r="M199" s="15">
        <f>SUM(F199,I199,K199-Tabela1[[#This Row],[Coupon Value]])</f>
        <v>32</v>
      </c>
    </row>
    <row r="200" spans="1:13" ht="16.5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f>IF(C202="Ultimate",15,IF(C202="Standard",10,IF(C202="Core",5,"")))</f>
        <v>15</v>
      </c>
      <c r="G202" s="8" t="s">
        <v>20</v>
      </c>
      <c r="H202" s="8" t="s">
        <v>23</v>
      </c>
      <c r="I202" s="11">
        <f>IF(Tabela1[[#This Row],[EA Play Season Pass]]="Yes",30,0)</f>
        <v>0</v>
      </c>
      <c r="J202" s="8" t="s">
        <v>19</v>
      </c>
      <c r="K202" s="11">
        <f>IF(Tabela1[[#This Row],[Minecraft Season Pass]]="Yes",20,0)</f>
        <v>20</v>
      </c>
      <c r="L202" s="11">
        <v>15</v>
      </c>
      <c r="M202" s="15">
        <f>SUM(F202,I202,K202-Tabela1[[#This Row],[Coupon Value]])</f>
        <v>20</v>
      </c>
    </row>
    <row r="203" spans="1:13" ht="16.5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f>IF(C205="Ultimate",15,IF(C205="Standard",10,IF(C205="Core",5,"")))</f>
        <v>15</v>
      </c>
      <c r="G205" s="8" t="s">
        <v>27</v>
      </c>
      <c r="H205" s="8" t="s">
        <v>23</v>
      </c>
      <c r="I205" s="11">
        <f>IF(Tabela1[[#This Row],[EA Play Season Pass]]="Yes",30,0)</f>
        <v>0</v>
      </c>
      <c r="J205" s="8" t="s">
        <v>19</v>
      </c>
      <c r="K205" s="11">
        <f>IF(Tabela1[[#This Row],[Minecraft Season Pass]]="Yes",20,0)</f>
        <v>20</v>
      </c>
      <c r="L205" s="11">
        <v>7</v>
      </c>
      <c r="M205" s="15">
        <f>SUM(F205,I205,K205-Tabela1[[#This Row],[Coupon Value]])</f>
        <v>28</v>
      </c>
    </row>
    <row r="206" spans="1:13" ht="16.5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f>IF(C208="Ultimate",15,IF(C208="Standard",10,IF(C208="Core",5,"")))</f>
        <v>15</v>
      </c>
      <c r="G208" s="8" t="s">
        <v>27</v>
      </c>
      <c r="H208" s="8" t="s">
        <v>23</v>
      </c>
      <c r="I208" s="11">
        <f>IF(Tabela1[[#This Row],[EA Play Season Pass]]="Yes",30,0)</f>
        <v>0</v>
      </c>
      <c r="J208" s="8" t="s">
        <v>19</v>
      </c>
      <c r="K208" s="11">
        <f>IF(Tabela1[[#This Row],[Minecraft Season Pass]]="Yes",20,0)</f>
        <v>20</v>
      </c>
      <c r="L208" s="11">
        <v>7</v>
      </c>
      <c r="M208" s="15">
        <f>SUM(F208,I208,K208-Tabela1[[#This Row],[Coupon Value]])</f>
        <v>28</v>
      </c>
    </row>
    <row r="209" spans="1:13" ht="16.5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f>IF(C211="Ultimate",15,IF(C211="Standard",10,IF(C211="Core",5,"")))</f>
        <v>15</v>
      </c>
      <c r="G211" s="8" t="s">
        <v>20</v>
      </c>
      <c r="H211" s="8" t="s">
        <v>19</v>
      </c>
      <c r="I211" s="11">
        <f>IF(Tabela1[[#This Row],[EA Play Season Pass]]="Yes",30,0)</f>
        <v>30</v>
      </c>
      <c r="J211" s="8" t="s">
        <v>19</v>
      </c>
      <c r="K211" s="11">
        <f>IF(Tabela1[[#This Row],[Minecraft Season Pass]]="Yes",20,0)</f>
        <v>20</v>
      </c>
      <c r="L211" s="11">
        <v>15</v>
      </c>
      <c r="M211" s="15">
        <f>SUM(F211,I211,K211-Tabela1[[#This Row],[Coupon Value]])</f>
        <v>50</v>
      </c>
    </row>
    <row r="212" spans="1:13" ht="16.5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22</v>
      </c>
      <c r="D214" s="10">
        <v>45560</v>
      </c>
      <c r="E214" s="8" t="s">
        <v>23</v>
      </c>
      <c r="F214" s="11">
        <f>IF(C214="Ultimate",15,IF(C214="Standard",10,IF(C214="Core",5,"")))</f>
        <v>5</v>
      </c>
      <c r="G214" s="8" t="s">
        <v>27</v>
      </c>
      <c r="H214" s="8" t="s">
        <v>19</v>
      </c>
      <c r="I214" s="11">
        <f>IF(Tabela1[[#This Row],[EA Play Season Pass]]="Yes",30,0)</f>
        <v>30</v>
      </c>
      <c r="J214" s="8" t="s">
        <v>19</v>
      </c>
      <c r="K214" s="11">
        <f>IF(Tabela1[[#This Row],[Minecraft Season Pass]]="Yes",20,0)</f>
        <v>20</v>
      </c>
      <c r="L214" s="11">
        <v>20</v>
      </c>
      <c r="M214" s="15">
        <f>SUM(F214,I214,K214-Tabela1[[#This Row],[Coupon Value]])</f>
        <v>35</v>
      </c>
    </row>
    <row r="215" spans="1:13" ht="16.5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f>IF(C217="Ultimate",15,IF(C217="Standard",10,IF(C217="Core",5,"")))</f>
        <v>15</v>
      </c>
      <c r="G217" s="8" t="s">
        <v>24</v>
      </c>
      <c r="H217" s="8" t="s">
        <v>19</v>
      </c>
      <c r="I217" s="11">
        <f>IF(Tabela1[[#This Row],[EA Play Season Pass]]="Yes",30,0)</f>
        <v>30</v>
      </c>
      <c r="J217" s="8" t="s">
        <v>19</v>
      </c>
      <c r="K217" s="11">
        <f>IF(Tabela1[[#This Row],[Minecraft Season Pass]]="Yes",20,0)</f>
        <v>20</v>
      </c>
      <c r="L217" s="11">
        <v>5</v>
      </c>
      <c r="M217" s="15">
        <f>SUM(F217,I217,K217-Tabela1[[#This Row],[Coupon Value]])</f>
        <v>60</v>
      </c>
    </row>
    <row r="218" spans="1:13" ht="16.5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f>IF(C220="Ultimate",15,IF(C220="Standard",10,IF(C220="Core",5,"")))</f>
        <v>15</v>
      </c>
      <c r="G220" s="8" t="s">
        <v>20</v>
      </c>
      <c r="H220" s="8" t="s">
        <v>19</v>
      </c>
      <c r="I220" s="11">
        <f>IF(Tabela1[[#This Row],[EA Play Season Pass]]="Yes",30,0)</f>
        <v>30</v>
      </c>
      <c r="J220" s="8" t="s">
        <v>19</v>
      </c>
      <c r="K220" s="11">
        <f>IF(Tabela1[[#This Row],[Minecraft Season Pass]]="Yes",20,0)</f>
        <v>20</v>
      </c>
      <c r="L220" s="11">
        <v>3</v>
      </c>
      <c r="M220" s="15">
        <f>SUM(F220,I220,K220-Tabela1[[#This Row],[Coupon Value]])</f>
        <v>62</v>
      </c>
    </row>
    <row r="221" spans="1:13" ht="16.5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hidden="1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f>IF(C223="Ultimate",15,IF(C223="Standard",10,IF(C223="Core",5,"")))</f>
        <v>15</v>
      </c>
      <c r="G223" s="8" t="s">
        <v>27</v>
      </c>
      <c r="H223" s="8" t="s">
        <v>19</v>
      </c>
      <c r="I223" s="11">
        <f>IF(Tabela1[[#This Row],[EA Play Season Pass]]="Yes",30,0)</f>
        <v>30</v>
      </c>
      <c r="J223" s="8" t="s">
        <v>23</v>
      </c>
      <c r="K223" s="11">
        <f>IF(Tabela1[[#This Row],[Minecraft Season Pass]]="Yes",20,0)</f>
        <v>0</v>
      </c>
      <c r="L223" s="11">
        <v>7</v>
      </c>
      <c r="M223" s="15">
        <f>SUM(F223,I223,K223-Tabela1[[#This Row],[Coupon Value]])</f>
        <v>38</v>
      </c>
    </row>
    <row r="224" spans="1:13" ht="16.5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hidden="1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f>IF(C226="Ultimate",15,IF(C226="Standard",10,IF(C226="Core",5,"")))</f>
        <v>15</v>
      </c>
      <c r="G226" s="8" t="s">
        <v>20</v>
      </c>
      <c r="H226" s="8" t="s">
        <v>19</v>
      </c>
      <c r="I226" s="11">
        <f>IF(Tabela1[[#This Row],[EA Play Season Pass]]="Yes",30,0)</f>
        <v>30</v>
      </c>
      <c r="J226" s="8" t="s">
        <v>23</v>
      </c>
      <c r="K226" s="11">
        <f>IF(Tabela1[[#This Row],[Minecraft Season Pass]]="Yes",20,0)</f>
        <v>0</v>
      </c>
      <c r="L226" s="11">
        <v>20</v>
      </c>
      <c r="M226" s="15">
        <f>SUM(F226,I226,K226-Tabela1[[#This Row],[Coupon Value]])</f>
        <v>25</v>
      </c>
    </row>
    <row r="227" spans="1:13" ht="16.5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hidden="1" customHeight="1">
      <c r="A229" s="8">
        <v>3458</v>
      </c>
      <c r="B229" s="8" t="s">
        <v>247</v>
      </c>
      <c r="C229" s="8" t="s">
        <v>22</v>
      </c>
      <c r="D229" s="10">
        <v>45575</v>
      </c>
      <c r="E229" s="8" t="s">
        <v>19</v>
      </c>
      <c r="F229" s="11">
        <f>IF(C229="Ultimate",15,IF(C229="Standard",10,IF(C229="Core",5,"")))</f>
        <v>5</v>
      </c>
      <c r="G229" s="8" t="s">
        <v>24</v>
      </c>
      <c r="H229" s="8" t="s">
        <v>19</v>
      </c>
      <c r="I229" s="11">
        <f>IF(Tabela1[[#This Row],[EA Play Season Pass]]="Yes",30,0)</f>
        <v>30</v>
      </c>
      <c r="J229" s="8" t="s">
        <v>23</v>
      </c>
      <c r="K229" s="11">
        <f>IF(Tabela1[[#This Row],[Minecraft Season Pass]]="Yes",20,0)</f>
        <v>0</v>
      </c>
      <c r="L229" s="11">
        <v>3</v>
      </c>
      <c r="M229" s="15">
        <f>SUM(F229,I229,K229-Tabela1[[#This Row],[Coupon Value]])</f>
        <v>32</v>
      </c>
    </row>
    <row r="230" spans="1:13" ht="16.5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hidden="1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f>IF(C232="Ultimate",15,IF(C232="Standard",10,IF(C232="Core",5,"")))</f>
        <v>15</v>
      </c>
      <c r="G232" s="8" t="s">
        <v>20</v>
      </c>
      <c r="H232" s="8" t="s">
        <v>19</v>
      </c>
      <c r="I232" s="11">
        <f>IF(Tabela1[[#This Row],[EA Play Season Pass]]="Yes",30,0)</f>
        <v>30</v>
      </c>
      <c r="J232" s="8" t="s">
        <v>23</v>
      </c>
      <c r="K232" s="11">
        <f>IF(Tabela1[[#This Row],[Minecraft Season Pass]]="Yes",20,0)</f>
        <v>0</v>
      </c>
      <c r="L232" s="11">
        <v>15</v>
      </c>
      <c r="M232" s="15">
        <f>SUM(F232,I232,K232-Tabela1[[#This Row],[Coupon Value]])</f>
        <v>30</v>
      </c>
    </row>
    <row r="233" spans="1:13" ht="16.5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hidden="1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f>IF(C235="Ultimate",15,IF(C235="Standard",10,IF(C235="Core",5,"")))</f>
        <v>15</v>
      </c>
      <c r="G235" s="8" t="s">
        <v>27</v>
      </c>
      <c r="H235" s="8" t="s">
        <v>19</v>
      </c>
      <c r="I235" s="11">
        <f>IF(Tabela1[[#This Row],[EA Play Season Pass]]="Yes",30,0)</f>
        <v>30</v>
      </c>
      <c r="J235" s="8" t="s">
        <v>23</v>
      </c>
      <c r="K235" s="11">
        <f>IF(Tabela1[[#This Row],[Minecraft Season Pass]]="Yes",20,0)</f>
        <v>0</v>
      </c>
      <c r="L235" s="11">
        <v>7</v>
      </c>
      <c r="M235" s="15">
        <f>SUM(F235,I235,K235-Tabela1[[#This Row],[Coupon Value]])</f>
        <v>38</v>
      </c>
    </row>
    <row r="236" spans="1:13" ht="16.5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hidden="1" customHeight="1">
      <c r="A238" s="8">
        <v>3467</v>
      </c>
      <c r="B238" s="8" t="s">
        <v>255</v>
      </c>
      <c r="C238" s="8" t="s">
        <v>26</v>
      </c>
      <c r="D238" s="10">
        <v>45584</v>
      </c>
      <c r="E238" s="8" t="s">
        <v>23</v>
      </c>
      <c r="F238" s="11">
        <f>IF(C238="Ultimate",15,IF(C238="Standard",10,IF(C238="Core",5,"")))</f>
        <v>10</v>
      </c>
      <c r="G238" s="8" t="s">
        <v>20</v>
      </c>
      <c r="H238" s="8" t="s">
        <v>19</v>
      </c>
      <c r="I238" s="11">
        <f>IF(Tabela1[[#This Row],[EA Play Season Pass]]="Yes",30,0)</f>
        <v>30</v>
      </c>
      <c r="J238" s="8" t="s">
        <v>23</v>
      </c>
      <c r="K238" s="11">
        <f>IF(Tabela1[[#This Row],[Minecraft Season Pass]]="Yes",20,0)</f>
        <v>0</v>
      </c>
      <c r="L238" s="11">
        <v>15</v>
      </c>
      <c r="M238" s="15">
        <f>SUM(F238,I238,K238-Tabela1[[#This Row],[Coupon Value]])</f>
        <v>25</v>
      </c>
    </row>
    <row r="239" spans="1:13" ht="16.5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hidden="1" customHeight="1">
      <c r="A241" s="8">
        <v>3470</v>
      </c>
      <c r="B241" s="8" t="s">
        <v>258</v>
      </c>
      <c r="C241" s="8" t="s">
        <v>26</v>
      </c>
      <c r="D241" s="10">
        <v>45587</v>
      </c>
      <c r="E241" s="8" t="s">
        <v>19</v>
      </c>
      <c r="F241" s="11">
        <f>IF(C241="Ultimate",15,IF(C241="Standard",10,IF(C241="Core",5,"")))</f>
        <v>10</v>
      </c>
      <c r="G241" s="8" t="s">
        <v>24</v>
      </c>
      <c r="H241" s="8" t="s">
        <v>19</v>
      </c>
      <c r="I241" s="11">
        <f>IF(Tabela1[[#This Row],[EA Play Season Pass]]="Yes",30,0)</f>
        <v>30</v>
      </c>
      <c r="J241" s="8" t="s">
        <v>23</v>
      </c>
      <c r="K241" s="11">
        <f>IF(Tabela1[[#This Row],[Minecraft Season Pass]]="Yes",20,0)</f>
        <v>0</v>
      </c>
      <c r="L241" s="11">
        <v>5</v>
      </c>
      <c r="M241" s="15">
        <f>SUM(F241,I241,K241-Tabela1[[#This Row],[Coupon Value]])</f>
        <v>35</v>
      </c>
    </row>
    <row r="242" spans="1:13" ht="16.5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hidden="1" customHeight="1">
      <c r="A244" s="8">
        <v>3473</v>
      </c>
      <c r="B244" s="8" t="s">
        <v>169</v>
      </c>
      <c r="C244" s="8" t="s">
        <v>26</v>
      </c>
      <c r="D244" s="10">
        <v>45590</v>
      </c>
      <c r="E244" s="8" t="s">
        <v>23</v>
      </c>
      <c r="F244" s="11">
        <f>IF(C244="Ultimate",15,IF(C244="Standard",10,IF(C244="Core",5,"")))</f>
        <v>10</v>
      </c>
      <c r="G244" s="8" t="s">
        <v>20</v>
      </c>
      <c r="H244" s="8" t="s">
        <v>19</v>
      </c>
      <c r="I244" s="11">
        <f>IF(Tabela1[[#This Row],[EA Play Season Pass]]="Yes",30,0)</f>
        <v>30</v>
      </c>
      <c r="J244" s="8" t="s">
        <v>23</v>
      </c>
      <c r="K244" s="11">
        <f>IF(Tabela1[[#This Row],[Minecraft Season Pass]]="Yes",20,0)</f>
        <v>0</v>
      </c>
      <c r="L244" s="11">
        <v>3</v>
      </c>
      <c r="M244" s="15">
        <f>SUM(F244,I244,K244-Tabela1[[#This Row],[Coupon Value]])</f>
        <v>37</v>
      </c>
    </row>
    <row r="245" spans="1:13" ht="16.5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26</v>
      </c>
      <c r="D247" s="10">
        <v>45593</v>
      </c>
      <c r="E247" s="8" t="s">
        <v>19</v>
      </c>
      <c r="F247" s="11">
        <f>IF(C247="Ultimate",15,IF(C247="Standard",10,IF(C247="Core",5,"")))</f>
        <v>10</v>
      </c>
      <c r="G247" s="8" t="s">
        <v>27</v>
      </c>
      <c r="H247" s="8" t="s">
        <v>19</v>
      </c>
      <c r="I247" s="11">
        <f>IF(Tabela1[[#This Row],[EA Play Season Pass]]="Yes",30,0)</f>
        <v>30</v>
      </c>
      <c r="J247" s="8" t="s">
        <v>19</v>
      </c>
      <c r="K247" s="11">
        <f>IF(Tabela1[[#This Row],[Minecraft Season Pass]]="Yes",20,0)</f>
        <v>20</v>
      </c>
      <c r="L247" s="11">
        <v>7</v>
      </c>
      <c r="M247" s="15">
        <f>SUM(F247,I247,K247-Tabela1[[#This Row],[Coupon Value]])</f>
        <v>53</v>
      </c>
    </row>
    <row r="248" spans="1:13" ht="16.5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f>IF(C250="Ultimate",15,IF(C250="Standard",10,IF(C250="Core",5,"")))</f>
        <v>15</v>
      </c>
      <c r="G250" s="8" t="s">
        <v>20</v>
      </c>
      <c r="H250" s="8" t="s">
        <v>23</v>
      </c>
      <c r="I250" s="11">
        <f>IF(Tabela1[[#This Row],[EA Play Season Pass]]="Yes",30,0)</f>
        <v>0</v>
      </c>
      <c r="J250" s="8" t="s">
        <v>19</v>
      </c>
      <c r="K250" s="11">
        <f>IF(Tabela1[[#This Row],[Minecraft Season Pass]]="Yes",20,0)</f>
        <v>20</v>
      </c>
      <c r="L250" s="11">
        <v>20</v>
      </c>
      <c r="M250" s="15">
        <f>SUM(F250,I250,K250-Tabela1[[#This Row],[Coupon Value]])</f>
        <v>15</v>
      </c>
    </row>
    <row r="251" spans="1:13" ht="16.5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f>IF(C253="Ultimate",15,IF(C253="Standard",10,IF(C253="Core",5,"")))</f>
        <v>15</v>
      </c>
      <c r="G253" s="8" t="s">
        <v>24</v>
      </c>
      <c r="H253" s="8" t="s">
        <v>23</v>
      </c>
      <c r="I253" s="11">
        <f>IF(Tabela1[[#This Row],[EA Play Season Pass]]="Yes",30,0)</f>
        <v>0</v>
      </c>
      <c r="J253" s="8" t="s">
        <v>19</v>
      </c>
      <c r="K253" s="11">
        <f>IF(Tabela1[[#This Row],[Minecraft Season Pass]]="Yes",20,0)</f>
        <v>20</v>
      </c>
      <c r="L253" s="11">
        <v>3</v>
      </c>
      <c r="M253" s="15">
        <f>SUM(F253,I253,K253-Tabela1[[#This Row],[Coupon Value]])</f>
        <v>32</v>
      </c>
    </row>
    <row r="254" spans="1:13" ht="16.5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22</v>
      </c>
      <c r="D256" s="10">
        <v>45602</v>
      </c>
      <c r="E256" s="8" t="s">
        <v>23</v>
      </c>
      <c r="F256" s="11">
        <f>IF(C256="Ultimate",15,IF(C256="Standard",10,IF(C256="Core",5,"")))</f>
        <v>5</v>
      </c>
      <c r="G256" s="8" t="s">
        <v>20</v>
      </c>
      <c r="H256" s="8" t="s">
        <v>23</v>
      </c>
      <c r="I256" s="11">
        <f>IF(Tabela1[[#This Row],[EA Play Season Pass]]="Yes",30,0)</f>
        <v>0</v>
      </c>
      <c r="J256" s="8" t="s">
        <v>19</v>
      </c>
      <c r="K256" s="11">
        <f>IF(Tabela1[[#This Row],[Minecraft Season Pass]]="Yes",20,0)</f>
        <v>20</v>
      </c>
      <c r="L256" s="11">
        <v>15</v>
      </c>
      <c r="M256" s="15">
        <f>SUM(F256,I256,K256-Tabela1[[#This Row],[Coupon Value]])</f>
        <v>10</v>
      </c>
    </row>
    <row r="257" spans="1:13" ht="16.5" hidden="1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22</v>
      </c>
      <c r="D258" s="10">
        <v>45604</v>
      </c>
      <c r="E258" s="8" t="s">
        <v>23</v>
      </c>
      <c r="F258" s="11">
        <f>IF(C258="Ultimate",15,IF(C258="Standard",10,IF(C258="Core",5,"")))</f>
        <v>5</v>
      </c>
      <c r="G258" s="8" t="s">
        <v>27</v>
      </c>
      <c r="H258" s="8" t="s">
        <v>23</v>
      </c>
      <c r="I258" s="11">
        <f>IF(Tabela1[[#This Row],[EA Play Season Pass]]="Yes",30,0)</f>
        <v>0</v>
      </c>
      <c r="J258" s="8" t="s">
        <v>19</v>
      </c>
      <c r="K258" s="11">
        <f>IF(Tabela1[[#This Row],[Minecraft Season Pass]]="Yes",20,0)</f>
        <v>20</v>
      </c>
      <c r="L258" s="11">
        <v>7</v>
      </c>
      <c r="M258" s="15">
        <f>SUM(F258,I258,K258-Tabela1[[#This Row],[Coupon Value]])</f>
        <v>18</v>
      </c>
    </row>
    <row r="259" spans="1:13" ht="16.5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f>IF(C261="Ultimate",15,IF(C261="Standard",10,IF(C261="Core",5,"")))</f>
        <v>15</v>
      </c>
      <c r="G261" s="8" t="s">
        <v>20</v>
      </c>
      <c r="H261" s="8" t="s">
        <v>23</v>
      </c>
      <c r="I261" s="11">
        <f>IF(Tabela1[[#This Row],[EA Play Season Pass]]="Yes",30,0)</f>
        <v>0</v>
      </c>
      <c r="J261" s="8" t="s">
        <v>19</v>
      </c>
      <c r="K261" s="11">
        <f>IF(Tabela1[[#This Row],[Minecraft Season Pass]]="Yes",20,0)</f>
        <v>20</v>
      </c>
      <c r="L261" s="11">
        <v>15</v>
      </c>
      <c r="M261" s="15">
        <f>SUM(F261,I261,K261-Tabela1[[#This Row],[Coupon Value]])</f>
        <v>20</v>
      </c>
    </row>
    <row r="262" spans="1:13" ht="16.5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f>IF(C264="Ultimate",15,IF(C264="Standard",10,IF(C264="Core",5,"")))</f>
        <v>15</v>
      </c>
      <c r="G264" s="8" t="s">
        <v>27</v>
      </c>
      <c r="H264" s="8" t="s">
        <v>23</v>
      </c>
      <c r="I264" s="11">
        <f>IF(Tabela1[[#This Row],[EA Play Season Pass]]="Yes",30,0)</f>
        <v>0</v>
      </c>
      <c r="J264" s="8" t="s">
        <v>19</v>
      </c>
      <c r="K264" s="11">
        <f>IF(Tabela1[[#This Row],[Minecraft Season Pass]]="Yes",20,0)</f>
        <v>20</v>
      </c>
      <c r="L264" s="11">
        <v>20</v>
      </c>
      <c r="M264" s="15">
        <f>SUM(F264,I264,K264-Tabela1[[#This Row],[Coupon Value]])</f>
        <v>15</v>
      </c>
    </row>
    <row r="265" spans="1:13" ht="16.5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f>IF(C267="Ultimate",15,IF(C267="Standard",10,IF(C267="Core",5,"")))</f>
        <v>15</v>
      </c>
      <c r="G267" s="8" t="s">
        <v>24</v>
      </c>
      <c r="H267" s="8" t="s">
        <v>23</v>
      </c>
      <c r="I267" s="11">
        <f>IF(Tabela1[[#This Row],[EA Play Season Pass]]="Yes",30,0)</f>
        <v>0</v>
      </c>
      <c r="J267" s="8" t="s">
        <v>19</v>
      </c>
      <c r="K267" s="11">
        <f>IF(Tabela1[[#This Row],[Minecraft Season Pass]]="Yes",20,0)</f>
        <v>20</v>
      </c>
      <c r="L267" s="11">
        <v>5</v>
      </c>
      <c r="M267" s="15">
        <f>SUM(F267,I267,K267-Tabela1[[#This Row],[Coupon Value]])</f>
        <v>30</v>
      </c>
    </row>
    <row r="268" spans="1:13" ht="16.5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22</v>
      </c>
      <c r="D270" s="10">
        <v>45616</v>
      </c>
      <c r="E270" s="8" t="s">
        <v>23</v>
      </c>
      <c r="F270" s="11">
        <f>IF(C270="Ultimate",15,IF(C270="Standard",10,IF(C270="Core",5,"")))</f>
        <v>5</v>
      </c>
      <c r="G270" s="8" t="s">
        <v>20</v>
      </c>
      <c r="H270" s="8" t="s">
        <v>23</v>
      </c>
      <c r="I270" s="11">
        <f>IF(Tabela1[[#This Row],[EA Play Season Pass]]="Yes",30,0)</f>
        <v>0</v>
      </c>
      <c r="J270" s="8" t="s">
        <v>19</v>
      </c>
      <c r="K270" s="11">
        <f>IF(Tabela1[[#This Row],[Minecraft Season Pass]]="Yes",20,0)</f>
        <v>20</v>
      </c>
      <c r="L270" s="11">
        <v>3</v>
      </c>
      <c r="M270" s="15">
        <f>SUM(F270,I270,K270-Tabela1[[#This Row],[Coupon Value]])</f>
        <v>22</v>
      </c>
    </row>
    <row r="271" spans="1:13" ht="16.5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f>IF(C273="Ultimate",15,IF(C273="Standard",10,IF(C273="Core",5,"")))</f>
        <v>15</v>
      </c>
      <c r="G273" s="8" t="s">
        <v>27</v>
      </c>
      <c r="H273" s="8" t="s">
        <v>23</v>
      </c>
      <c r="I273" s="11">
        <f>IF(Tabela1[[#This Row],[EA Play Season Pass]]="Yes",30,0)</f>
        <v>0</v>
      </c>
      <c r="J273" s="8" t="s">
        <v>19</v>
      </c>
      <c r="K273" s="11">
        <f>IF(Tabela1[[#This Row],[Minecraft Season Pass]]="Yes",20,0)</f>
        <v>20</v>
      </c>
      <c r="L273" s="11">
        <v>7</v>
      </c>
      <c r="M273" s="15">
        <f>SUM(F273,I273,K273-Tabela1[[#This Row],[Coupon Value]])</f>
        <v>28</v>
      </c>
    </row>
    <row r="274" spans="1:13" ht="16.5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f>IF(C276="Ultimate",15,IF(C276="Standard",10,IF(C276="Core",5,"")))</f>
        <v>15</v>
      </c>
      <c r="G276" s="8" t="s">
        <v>20</v>
      </c>
      <c r="H276" s="8" t="s">
        <v>23</v>
      </c>
      <c r="I276" s="11">
        <f>IF(Tabela1[[#This Row],[EA Play Season Pass]]="Yes",30,0)</f>
        <v>0</v>
      </c>
      <c r="J276" s="8" t="s">
        <v>19</v>
      </c>
      <c r="K276" s="11">
        <f>IF(Tabela1[[#This Row],[Minecraft Season Pass]]="Yes",20,0)</f>
        <v>20</v>
      </c>
      <c r="L276" s="11">
        <v>20</v>
      </c>
      <c r="M276" s="15">
        <f>SUM(F276,I276,K276-Tabela1[[#This Row],[Coupon Value]])</f>
        <v>15</v>
      </c>
    </row>
    <row r="277" spans="1:13" ht="16.5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f>IF(C279="Ultimate",15,IF(C279="Standard",10,IF(C279="Core",5,"")))</f>
        <v>15</v>
      </c>
      <c r="G279" s="8" t="s">
        <v>24</v>
      </c>
      <c r="H279" s="8" t="s">
        <v>19</v>
      </c>
      <c r="I279" s="11">
        <f>IF(Tabela1[[#This Row],[EA Play Season Pass]]="Yes",30,0)</f>
        <v>30</v>
      </c>
      <c r="J279" s="8" t="s">
        <v>19</v>
      </c>
      <c r="K279" s="11">
        <f>IF(Tabela1[[#This Row],[Minecraft Season Pass]]="Yes",20,0)</f>
        <v>20</v>
      </c>
      <c r="L279" s="11">
        <v>3</v>
      </c>
      <c r="M279" s="15">
        <f>SUM(F279,I279,K279-Tabela1[[#This Row],[Coupon Value]])</f>
        <v>62</v>
      </c>
    </row>
    <row r="280" spans="1:13" ht="16.5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hidden="1" customHeight="1">
      <c r="A282" s="8">
        <v>3511</v>
      </c>
      <c r="B282" s="8" t="s">
        <v>297</v>
      </c>
      <c r="C282" s="8" t="s">
        <v>22</v>
      </c>
      <c r="D282" s="10">
        <v>45628</v>
      </c>
      <c r="E282" s="8" t="s">
        <v>23</v>
      </c>
      <c r="F282" s="11">
        <f>IF(C282="Ultimate",15,IF(C282="Standard",10,IF(C282="Core",5,"")))</f>
        <v>5</v>
      </c>
      <c r="G282" s="8" t="s">
        <v>20</v>
      </c>
      <c r="H282" s="8" t="s">
        <v>19</v>
      </c>
      <c r="I282" s="11">
        <f>IF(Tabela1[[#This Row],[EA Play Season Pass]]="Yes",30,0)</f>
        <v>30</v>
      </c>
      <c r="J282" s="8" t="s">
        <v>23</v>
      </c>
      <c r="K282" s="11">
        <f>IF(Tabela1[[#This Row],[Minecraft Season Pass]]="Yes",20,0)</f>
        <v>0</v>
      </c>
      <c r="L282" s="11">
        <v>15</v>
      </c>
      <c r="M282" s="15">
        <f>SUM(F282,I282,K282-Tabela1[[#This Row],[Coupon Value]])</f>
        <v>20</v>
      </c>
    </row>
    <row r="283" spans="1:13" ht="16.5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hidden="1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f>IF(C285="Ultimate",15,IF(C285="Standard",10,IF(C285="Core",5,"")))</f>
        <v>15</v>
      </c>
      <c r="G285" s="8" t="s">
        <v>27</v>
      </c>
      <c r="H285" s="8" t="s">
        <v>19</v>
      </c>
      <c r="I285" s="11">
        <f>IF(Tabela1[[#This Row],[EA Play Season Pass]]="Yes",30,0)</f>
        <v>30</v>
      </c>
      <c r="J285" s="8" t="s">
        <v>23</v>
      </c>
      <c r="K285" s="11">
        <f>IF(Tabela1[[#This Row],[Minecraft Season Pass]]="Yes",20,0)</f>
        <v>0</v>
      </c>
      <c r="L285" s="11">
        <v>7</v>
      </c>
      <c r="M285" s="15">
        <f>SUM(F285,I285,K285-Tabela1[[#This Row],[Coupon Value]])</f>
        <v>38</v>
      </c>
    </row>
    <row r="286" spans="1:13" ht="16.5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hidden="1" customHeight="1">
      <c r="A288" s="8">
        <v>3517</v>
      </c>
      <c r="B288" s="8" t="s">
        <v>210</v>
      </c>
      <c r="C288" s="8" t="s">
        <v>22</v>
      </c>
      <c r="D288" s="10">
        <v>45634</v>
      </c>
      <c r="E288" s="8" t="s">
        <v>23</v>
      </c>
      <c r="F288" s="11">
        <f>IF(C288="Ultimate",15,IF(C288="Standard",10,IF(C288="Core",5,"")))</f>
        <v>5</v>
      </c>
      <c r="G288" s="8" t="s">
        <v>20</v>
      </c>
      <c r="H288" s="8" t="s">
        <v>19</v>
      </c>
      <c r="I288" s="11">
        <f>IF(Tabela1[[#This Row],[EA Play Season Pass]]="Yes",30,0)</f>
        <v>30</v>
      </c>
      <c r="J288" s="8" t="s">
        <v>23</v>
      </c>
      <c r="K288" s="11">
        <f>IF(Tabela1[[#This Row],[Minecraft Season Pass]]="Yes",20,0)</f>
        <v>0</v>
      </c>
      <c r="L288" s="11">
        <v>20</v>
      </c>
      <c r="M288" s="15">
        <f>SUM(F288,I288,K288-Tabela1[[#This Row],[Coupon Value]])</f>
        <v>15</v>
      </c>
    </row>
    <row r="289" spans="1:13" ht="16.5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hidden="1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f>IF(C291="Ultimate",15,IF(C291="Standard",10,IF(C291="Core",5,"")))</f>
        <v>15</v>
      </c>
      <c r="G291" s="8" t="s">
        <v>24</v>
      </c>
      <c r="H291" s="8" t="s">
        <v>19</v>
      </c>
      <c r="I291" s="11">
        <f>IF(Tabela1[[#This Row],[EA Play Season Pass]]="Yes",30,0)</f>
        <v>30</v>
      </c>
      <c r="J291" s="8" t="s">
        <v>23</v>
      </c>
      <c r="K291" s="11">
        <f>IF(Tabela1[[#This Row],[Minecraft Season Pass]]="Yes",20,0)</f>
        <v>0</v>
      </c>
      <c r="L291" s="11">
        <v>5</v>
      </c>
      <c r="M291" s="15">
        <f>SUM(F291,I291,K291-Tabela1[[#This Row],[Coupon Value]])</f>
        <v>40</v>
      </c>
    </row>
    <row r="292" spans="1:13" ht="16.5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hidden="1" customHeight="1">
      <c r="A294" s="8">
        <v>3523</v>
      </c>
      <c r="B294" s="8" t="s">
        <v>306</v>
      </c>
      <c r="C294" s="8" t="s">
        <v>22</v>
      </c>
      <c r="D294" s="10">
        <v>45640</v>
      </c>
      <c r="E294" s="8" t="s">
        <v>23</v>
      </c>
      <c r="F294" s="11">
        <f>IF(C294="Ultimate",15,IF(C294="Standard",10,IF(C294="Core",5,"")))</f>
        <v>5</v>
      </c>
      <c r="G294" s="8" t="s">
        <v>20</v>
      </c>
      <c r="H294" s="8" t="s">
        <v>19</v>
      </c>
      <c r="I294" s="11">
        <f>IF(Tabela1[[#This Row],[EA Play Season Pass]]="Yes",30,0)</f>
        <v>30</v>
      </c>
      <c r="J294" s="8" t="s">
        <v>23</v>
      </c>
      <c r="K294" s="11">
        <f>IF(Tabela1[[#This Row],[Minecraft Season Pass]]="Yes",20,0)</f>
        <v>0</v>
      </c>
      <c r="L294" s="11">
        <v>3</v>
      </c>
      <c r="M294" s="15">
        <f>SUM(F294,I294,K294-Tabela1[[#This Row],[Coupon Value]])</f>
        <v>32</v>
      </c>
    </row>
    <row r="295" spans="1:13" ht="16.5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  <row r="297" spans="1:13" hidden="1">
      <c r="A297" s="8"/>
      <c r="B297" s="8"/>
      <c r="C297" s="8"/>
      <c r="D297" s="8"/>
      <c r="E297" s="8"/>
      <c r="F297" s="11"/>
      <c r="G297" s="8"/>
      <c r="H297" s="8"/>
      <c r="I297" s="11"/>
      <c r="J297" s="8"/>
      <c r="K297" s="11"/>
      <c r="L297" s="11"/>
      <c r="M297" s="15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2:J35"/>
  <sheetViews>
    <sheetView showGridLines="0" topLeftCell="A4" workbookViewId="0">
      <selection activeCell="A8" sqref="A8"/>
    </sheetView>
  </sheetViews>
  <sheetFormatPr defaultRowHeight="14.25"/>
  <cols>
    <col min="2" max="2" width="25.75" bestFit="1" customWidth="1"/>
    <col min="3" max="3" width="6" bestFit="1" customWidth="1"/>
    <col min="4" max="6" width="4.875" bestFit="1" customWidth="1"/>
    <col min="7" max="7" width="25.75" bestFit="1" customWidth="1"/>
    <col min="8" max="8" width="6" bestFit="1" customWidth="1"/>
    <col min="9" max="9" width="4.25" bestFit="1" customWidth="1"/>
    <col min="10" max="10" width="10.75" bestFit="1" customWidth="1"/>
    <col min="11" max="11" width="2.875" bestFit="1" customWidth="1"/>
    <col min="12" max="12" width="3.875" bestFit="1" customWidth="1"/>
    <col min="13" max="13" width="2.875" bestFit="1" customWidth="1"/>
    <col min="14" max="15" width="3.875" bestFit="1" customWidth="1"/>
    <col min="16" max="17" width="2.875" bestFit="1" customWidth="1"/>
    <col min="18" max="18" width="3.875" bestFit="1" customWidth="1"/>
    <col min="19" max="19" width="2.875" bestFit="1" customWidth="1"/>
    <col min="20" max="20" width="3.875" bestFit="1" customWidth="1"/>
    <col min="21" max="22" width="2.875" bestFit="1" customWidth="1"/>
    <col min="23" max="23" width="3.875" bestFit="1" customWidth="1"/>
    <col min="24" max="24" width="2.875" bestFit="1" customWidth="1"/>
    <col min="25" max="26" width="3.875" bestFit="1" customWidth="1"/>
    <col min="27" max="27" width="2.875" bestFit="1" customWidth="1"/>
    <col min="28" max="28" width="3.875" bestFit="1" customWidth="1"/>
    <col min="29" max="29" width="2.875" bestFit="1" customWidth="1"/>
    <col min="30" max="30" width="3.875" bestFit="1" customWidth="1"/>
    <col min="31" max="31" width="2.875" bestFit="1" customWidth="1"/>
    <col min="32" max="32" width="3.875" bestFit="1" customWidth="1"/>
    <col min="33" max="33" width="2.875" bestFit="1" customWidth="1"/>
    <col min="34" max="35" width="3.875" bestFit="1" customWidth="1"/>
    <col min="36" max="36" width="2.875" bestFit="1" customWidth="1"/>
    <col min="37" max="37" width="3.875" bestFit="1" customWidth="1"/>
    <col min="38" max="38" width="10.75" bestFit="1" customWidth="1"/>
    <col min="39" max="40" width="3.875" bestFit="1" customWidth="1"/>
    <col min="41" max="41" width="7.875" bestFit="1" customWidth="1"/>
    <col min="42" max="42" width="10.75" bestFit="1" customWidth="1"/>
    <col min="43" max="43" width="3.875" bestFit="1" customWidth="1"/>
    <col min="44" max="44" width="6.875" bestFit="1" customWidth="1"/>
    <col min="45" max="45" width="3.625" bestFit="1" customWidth="1"/>
    <col min="46" max="46" width="6.875" bestFit="1" customWidth="1"/>
    <col min="47" max="47" width="4.625" bestFit="1" customWidth="1"/>
    <col min="48" max="48" width="2.875" bestFit="1" customWidth="1"/>
    <col min="49" max="49" width="7.875" bestFit="1" customWidth="1"/>
    <col min="50" max="50" width="4.625" bestFit="1" customWidth="1"/>
    <col min="51" max="51" width="7.875" bestFit="1" customWidth="1"/>
    <col min="52" max="52" width="4.625" bestFit="1" customWidth="1"/>
    <col min="53" max="54" width="3.875" bestFit="1" customWidth="1"/>
    <col min="55" max="55" width="7.875" bestFit="1" customWidth="1"/>
    <col min="56" max="56" width="4.625" bestFit="1" customWidth="1"/>
    <col min="57" max="58" width="3.875" bestFit="1" customWidth="1"/>
    <col min="59" max="60" width="7.875" bestFit="1" customWidth="1"/>
    <col min="61" max="61" width="10.75" bestFit="1" customWidth="1"/>
    <col min="62" max="62" width="3.875" bestFit="1" customWidth="1"/>
    <col min="63" max="63" width="7.875" bestFit="1" customWidth="1"/>
    <col min="64" max="64" width="4.625" bestFit="1" customWidth="1"/>
    <col min="65" max="66" width="3.875" bestFit="1" customWidth="1"/>
    <col min="67" max="69" width="7.875" bestFit="1" customWidth="1"/>
    <col min="70" max="70" width="3.875" bestFit="1" customWidth="1"/>
    <col min="71" max="71" width="6.875" bestFit="1" customWidth="1"/>
    <col min="72" max="72" width="3.875" bestFit="1" customWidth="1"/>
    <col min="73" max="73" width="6.875" bestFit="1" customWidth="1"/>
    <col min="74" max="74" width="3.625" bestFit="1" customWidth="1"/>
    <col min="75" max="76" width="6.875" bestFit="1" customWidth="1"/>
    <col min="77" max="77" width="4.625" bestFit="1" customWidth="1"/>
    <col min="78" max="78" width="6.875" bestFit="1" customWidth="1"/>
    <col min="79" max="79" width="3.875" bestFit="1" customWidth="1"/>
    <col min="80" max="80" width="6.875" bestFit="1" customWidth="1"/>
    <col min="81" max="81" width="4.625" bestFit="1" customWidth="1"/>
    <col min="82" max="82" width="7.875" bestFit="1" customWidth="1"/>
    <col min="83" max="83" width="4.625" bestFit="1" customWidth="1"/>
    <col min="84" max="84" width="7.875" bestFit="1" customWidth="1"/>
    <col min="85" max="85" width="4.625" bestFit="1" customWidth="1"/>
    <col min="86" max="87" width="7.875" bestFit="1" customWidth="1"/>
    <col min="88" max="88" width="6.5" bestFit="1" customWidth="1"/>
    <col min="89" max="89" width="10.75" bestFit="1" customWidth="1"/>
    <col min="90" max="226" width="4.875" bestFit="1" customWidth="1"/>
    <col min="227" max="227" width="10.75" bestFit="1" customWidth="1"/>
  </cols>
  <sheetData>
    <row r="2" spans="1:8">
      <c r="B2" t="s">
        <v>313</v>
      </c>
    </row>
    <row r="5" spans="1:8">
      <c r="A5" s="20"/>
      <c r="B5" t="s">
        <v>320</v>
      </c>
    </row>
    <row r="6" spans="1:8">
      <c r="A6" s="20"/>
      <c r="B6" t="s">
        <v>317</v>
      </c>
    </row>
    <row r="7" spans="1:8">
      <c r="A7" s="20"/>
      <c r="B7" t="s">
        <v>318</v>
      </c>
    </row>
    <row r="8" spans="1:8">
      <c r="A8" s="20"/>
      <c r="B8" t="s">
        <v>319</v>
      </c>
    </row>
    <row r="11" spans="1:8">
      <c r="B11" s="12" t="s">
        <v>15</v>
      </c>
      <c r="C11" t="s">
        <v>19</v>
      </c>
    </row>
    <row r="12" spans="1:8">
      <c r="G12" s="12" t="s">
        <v>15</v>
      </c>
      <c r="H12" t="s">
        <v>19</v>
      </c>
    </row>
    <row r="13" spans="1:8">
      <c r="B13" s="12" t="s">
        <v>314</v>
      </c>
      <c r="C13" t="s">
        <v>316</v>
      </c>
    </row>
    <row r="14" spans="1:8">
      <c r="B14" s="13" t="s">
        <v>20</v>
      </c>
      <c r="C14" s="19">
        <v>537</v>
      </c>
      <c r="G14" s="12" t="s">
        <v>314</v>
      </c>
      <c r="H14" t="s">
        <v>328</v>
      </c>
    </row>
    <row r="15" spans="1:8">
      <c r="B15" s="13" t="s">
        <v>27</v>
      </c>
      <c r="C15" s="19">
        <v>1257</v>
      </c>
      <c r="G15" s="13" t="s">
        <v>22</v>
      </c>
      <c r="H15" s="19">
        <v>34</v>
      </c>
    </row>
    <row r="16" spans="1:8">
      <c r="B16" s="13" t="s">
        <v>315</v>
      </c>
      <c r="C16" s="19">
        <v>1794</v>
      </c>
      <c r="G16" s="13" t="s">
        <v>26</v>
      </c>
      <c r="H16" s="19">
        <v>35</v>
      </c>
    </row>
    <row r="17" spans="2:10">
      <c r="G17" s="13" t="s">
        <v>18</v>
      </c>
      <c r="H17" s="19">
        <v>19</v>
      </c>
    </row>
    <row r="18" spans="2:10">
      <c r="G18" s="13" t="s">
        <v>315</v>
      </c>
      <c r="H18" s="19">
        <v>88</v>
      </c>
    </row>
    <row r="23" spans="2:10">
      <c r="B23" s="12" t="s">
        <v>314</v>
      </c>
      <c r="C23" t="s">
        <v>330</v>
      </c>
    </row>
    <row r="24" spans="2:10">
      <c r="B24" s="13" t="s">
        <v>322</v>
      </c>
      <c r="C24" s="19">
        <v>24</v>
      </c>
    </row>
    <row r="25" spans="2:10">
      <c r="B25" s="13" t="s">
        <v>323</v>
      </c>
      <c r="C25" s="19">
        <v>23</v>
      </c>
      <c r="G25" s="12" t="s">
        <v>314</v>
      </c>
      <c r="H25" t="s">
        <v>329</v>
      </c>
    </row>
    <row r="26" spans="2:10">
      <c r="B26" s="13" t="s">
        <v>324</v>
      </c>
      <c r="C26" s="19">
        <v>24</v>
      </c>
      <c r="G26" s="13" t="s">
        <v>22</v>
      </c>
      <c r="H26" s="19">
        <v>95</v>
      </c>
    </row>
    <row r="27" spans="2:10">
      <c r="B27" s="13" t="s">
        <v>325</v>
      </c>
      <c r="C27" s="19">
        <v>23</v>
      </c>
      <c r="G27" s="13" t="s">
        <v>26</v>
      </c>
      <c r="H27" s="19">
        <v>91</v>
      </c>
    </row>
    <row r="28" spans="2:10">
      <c r="B28" s="13" t="s">
        <v>326</v>
      </c>
      <c r="C28" s="19">
        <v>23</v>
      </c>
      <c r="G28" s="13" t="s">
        <v>18</v>
      </c>
      <c r="H28" s="19">
        <v>38</v>
      </c>
    </row>
    <row r="29" spans="2:10">
      <c r="B29" s="13" t="s">
        <v>315</v>
      </c>
      <c r="C29" s="19">
        <v>117</v>
      </c>
      <c r="G29" s="13" t="s">
        <v>315</v>
      </c>
      <c r="H29" s="19">
        <v>224</v>
      </c>
      <c r="J29">
        <f>H29</f>
        <v>224</v>
      </c>
    </row>
    <row r="30" spans="2:10">
      <c r="G30" s="12" t="s">
        <v>30</v>
      </c>
      <c r="H30" t="s">
        <v>19</v>
      </c>
    </row>
    <row r="32" spans="2:10">
      <c r="B32" s="12" t="s">
        <v>309</v>
      </c>
      <c r="C32" t="s">
        <v>19</v>
      </c>
      <c r="G32" t="s">
        <v>330</v>
      </c>
    </row>
    <row r="33" spans="2:7">
      <c r="G33" s="19">
        <v>132</v>
      </c>
    </row>
    <row r="34" spans="2:7">
      <c r="B34" t="s">
        <v>330</v>
      </c>
    </row>
    <row r="35" spans="2:7">
      <c r="B35" s="19">
        <v>51</v>
      </c>
    </row>
  </sheetData>
  <pageMargins left="0.511811024" right="0.511811024" top="0.78740157499999996" bottom="0.78740157499999996" header="0.31496062000000002" footer="0.31496062000000002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D8"/>
  <sheetViews>
    <sheetView showGridLines="0" tabSelected="1" zoomScale="80" zoomScaleNormal="80" workbookViewId="0">
      <selection activeCell="J14" sqref="J14"/>
    </sheetView>
  </sheetViews>
  <sheetFormatPr defaultRowHeight="14.25"/>
  <cols>
    <col min="1" max="1" width="25.625" style="17" customWidth="1"/>
    <col min="2" max="2" width="3.625" style="7" customWidth="1"/>
    <col min="3" max="3" width="8.75" style="7" customWidth="1"/>
    <col min="4" max="4" width="64.375" style="7" customWidth="1"/>
    <col min="5" max="11" width="9" style="7"/>
    <col min="12" max="12" width="6.625" style="7" customWidth="1"/>
    <col min="13" max="16384" width="9" style="7"/>
  </cols>
  <sheetData>
    <row r="1" spans="1:4" customFormat="1" ht="20.25" customHeight="1">
      <c r="A1" s="17"/>
    </row>
    <row r="2" spans="1:4" customFormat="1" ht="20.25" customHeight="1" thickBot="1">
      <c r="A2" s="17"/>
      <c r="D2" s="18" t="s">
        <v>321</v>
      </c>
    </row>
    <row r="3" spans="1:4" customFormat="1" ht="21.75" customHeight="1" thickTop="1">
      <c r="A3" s="17"/>
    </row>
    <row r="4" spans="1:4" ht="23.25" customHeight="1"/>
    <row r="5" spans="1:4" ht="21.75" customHeight="1">
      <c r="A5" s="21" t="s">
        <v>327</v>
      </c>
    </row>
    <row r="6" spans="1:4" ht="30" customHeight="1"/>
    <row r="7" spans="1:4" ht="25.5" customHeight="1"/>
    <row r="8" spans="1:4" ht="33" customHeight="1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Julia Prin3298</cp:lastModifiedBy>
  <dcterms:created xsi:type="dcterms:W3CDTF">2024-12-19T13:13:10Z</dcterms:created>
  <dcterms:modified xsi:type="dcterms:W3CDTF">2026-01-07T04:25:57Z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